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2FE9621-0D93-463B-9509-D01D032E36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Questionnaire" sheetId="2" r:id="rId1"/>
    <sheet name="Customer Expectations" sheetId="3" r:id="rId2"/>
    <sheet name="Customer Perceptions" sheetId="4" r:id="rId3"/>
    <sheet name="Employee Perceptions" sheetId="5" r:id="rId4"/>
    <sheet name="Gap Analy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4" i="3" l="1"/>
  <c r="B7" i="6"/>
  <c r="B6" i="6"/>
  <c r="B5" i="6"/>
  <c r="AB6" i="5"/>
  <c r="AA6" i="5"/>
  <c r="Z6" i="5"/>
  <c r="Y6" i="5"/>
  <c r="X6" i="5"/>
  <c r="AB5" i="5"/>
  <c r="AA5" i="5"/>
  <c r="Z5" i="5"/>
  <c r="Y5" i="5"/>
  <c r="X5" i="5"/>
  <c r="AB4" i="5"/>
  <c r="AA4" i="5"/>
  <c r="Z4" i="5"/>
  <c r="Y4" i="5"/>
  <c r="X4" i="5"/>
  <c r="AB3" i="5"/>
  <c r="AA3" i="5"/>
  <c r="Z3" i="5"/>
  <c r="Y3" i="5"/>
  <c r="X3" i="5"/>
  <c r="AB2" i="5"/>
  <c r="E9" i="6" s="1"/>
  <c r="AA2" i="5"/>
  <c r="E8" i="6" s="1"/>
  <c r="Z2" i="5"/>
  <c r="E7" i="6" s="1"/>
  <c r="Y2" i="5"/>
  <c r="E6" i="6" s="1"/>
  <c r="X2" i="5"/>
  <c r="E5" i="6" s="1"/>
  <c r="AC31" i="4"/>
  <c r="AB31" i="4"/>
  <c r="AA31" i="4"/>
  <c r="Z31" i="4"/>
  <c r="Y31" i="4"/>
  <c r="AC30" i="4"/>
  <c r="AB30" i="4"/>
  <c r="AA30" i="4"/>
  <c r="Z30" i="4"/>
  <c r="Y30" i="4"/>
  <c r="AC29" i="4"/>
  <c r="AB29" i="4"/>
  <c r="AA29" i="4"/>
  <c r="Z29" i="4"/>
  <c r="Y29" i="4"/>
  <c r="AC28" i="4"/>
  <c r="AB28" i="4"/>
  <c r="AA28" i="4"/>
  <c r="Z28" i="4"/>
  <c r="Y28" i="4"/>
  <c r="AC27" i="4"/>
  <c r="AB27" i="4"/>
  <c r="AA27" i="4"/>
  <c r="Z27" i="4"/>
  <c r="Y27" i="4"/>
  <c r="AC26" i="4"/>
  <c r="AB26" i="4"/>
  <c r="AA26" i="4"/>
  <c r="Z26" i="4"/>
  <c r="Y26" i="4"/>
  <c r="AC25" i="4"/>
  <c r="AB25" i="4"/>
  <c r="AA25" i="4"/>
  <c r="Z25" i="4"/>
  <c r="Y25" i="4"/>
  <c r="AC24" i="4"/>
  <c r="AB24" i="4"/>
  <c r="AA24" i="4"/>
  <c r="Z24" i="4"/>
  <c r="Y24" i="4"/>
  <c r="AC23" i="4"/>
  <c r="AB23" i="4"/>
  <c r="AA23" i="4"/>
  <c r="Z23" i="4"/>
  <c r="Y23" i="4"/>
  <c r="AC22" i="4"/>
  <c r="AB22" i="4"/>
  <c r="AA22" i="4"/>
  <c r="Z22" i="4"/>
  <c r="Y22" i="4"/>
  <c r="AC21" i="4"/>
  <c r="AB21" i="4"/>
  <c r="AA21" i="4"/>
  <c r="Z21" i="4"/>
  <c r="Y21" i="4"/>
  <c r="AC20" i="4"/>
  <c r="AB20" i="4"/>
  <c r="AA20" i="4"/>
  <c r="Z20" i="4"/>
  <c r="Y20" i="4"/>
  <c r="AC19" i="4"/>
  <c r="AB19" i="4"/>
  <c r="AA19" i="4"/>
  <c r="Z19" i="4"/>
  <c r="Y19" i="4"/>
  <c r="AC18" i="4"/>
  <c r="AB18" i="4"/>
  <c r="AA18" i="4"/>
  <c r="Z18" i="4"/>
  <c r="Y18" i="4"/>
  <c r="AC17" i="4"/>
  <c r="AB17" i="4"/>
  <c r="AA17" i="4"/>
  <c r="Z17" i="4"/>
  <c r="Y17" i="4"/>
  <c r="AC16" i="4"/>
  <c r="AB16" i="4"/>
  <c r="AA16" i="4"/>
  <c r="Z16" i="4"/>
  <c r="Y16" i="4"/>
  <c r="AC15" i="4"/>
  <c r="AB15" i="4"/>
  <c r="AA15" i="4"/>
  <c r="Z15" i="4"/>
  <c r="Y15" i="4"/>
  <c r="C5" i="6" s="1"/>
  <c r="AC14" i="4"/>
  <c r="C9" i="6" s="1"/>
  <c r="AB14" i="4"/>
  <c r="C8" i="6" s="1"/>
  <c r="AA14" i="4"/>
  <c r="C7" i="6" s="1"/>
  <c r="D7" i="6" s="1"/>
  <c r="Z14" i="4"/>
  <c r="C6" i="6" s="1"/>
  <c r="D6" i="6" s="1"/>
  <c r="Y14" i="4"/>
  <c r="AC13" i="4"/>
  <c r="AB13" i="4"/>
  <c r="AA13" i="4"/>
  <c r="Z13" i="4"/>
  <c r="Y13" i="4"/>
  <c r="AC12" i="4"/>
  <c r="AB12" i="4"/>
  <c r="AA12" i="4"/>
  <c r="Z12" i="4"/>
  <c r="Y12" i="4"/>
  <c r="AC11" i="4"/>
  <c r="AB11" i="4"/>
  <c r="AA11" i="4"/>
  <c r="Z11" i="4"/>
  <c r="Y11" i="4"/>
  <c r="AC10" i="4"/>
  <c r="AB10" i="4"/>
  <c r="AA10" i="4"/>
  <c r="Z10" i="4"/>
  <c r="Y10" i="4"/>
  <c r="AC9" i="4"/>
  <c r="AB9" i="4"/>
  <c r="AA9" i="4"/>
  <c r="Z9" i="4"/>
  <c r="Y9" i="4"/>
  <c r="AC8" i="4"/>
  <c r="AB8" i="4"/>
  <c r="AA8" i="4"/>
  <c r="Z8" i="4"/>
  <c r="Y8" i="4"/>
  <c r="AC7" i="4"/>
  <c r="AB7" i="4"/>
  <c r="AA7" i="4"/>
  <c r="Z7" i="4"/>
  <c r="Y7" i="4"/>
  <c r="AC6" i="4"/>
  <c r="AB6" i="4"/>
  <c r="AA6" i="4"/>
  <c r="Z6" i="4"/>
  <c r="Y6" i="4"/>
  <c r="AC5" i="4"/>
  <c r="AB5" i="4"/>
  <c r="AA5" i="4"/>
  <c r="Z5" i="4"/>
  <c r="Y5" i="4"/>
  <c r="AC4" i="4"/>
  <c r="AB4" i="4"/>
  <c r="AA4" i="4"/>
  <c r="Z4" i="4"/>
  <c r="Y4" i="4"/>
  <c r="AC3" i="4"/>
  <c r="AB3" i="4"/>
  <c r="AA3" i="4"/>
  <c r="Z3" i="4"/>
  <c r="Y3" i="4"/>
  <c r="AC2" i="4"/>
  <c r="AB2" i="4"/>
  <c r="AA2" i="4"/>
  <c r="Z2" i="4"/>
  <c r="Y2" i="4"/>
  <c r="AC31" i="3"/>
  <c r="AB31" i="3"/>
  <c r="AA31" i="3"/>
  <c r="Z31" i="3"/>
  <c r="Y31" i="3"/>
  <c r="AC30" i="3"/>
  <c r="AB30" i="3"/>
  <c r="AA30" i="3"/>
  <c r="Z30" i="3"/>
  <c r="Y30" i="3"/>
  <c r="AC29" i="3"/>
  <c r="AB29" i="3"/>
  <c r="AA29" i="3"/>
  <c r="Z29" i="3"/>
  <c r="Y29" i="3"/>
  <c r="AC28" i="3"/>
  <c r="AB28" i="3"/>
  <c r="AA28" i="3"/>
  <c r="Z28" i="3"/>
  <c r="Y28" i="3"/>
  <c r="AC27" i="3"/>
  <c r="AB27" i="3"/>
  <c r="AA27" i="3"/>
  <c r="Z27" i="3"/>
  <c r="Y27" i="3"/>
  <c r="AC26" i="3"/>
  <c r="AB26" i="3"/>
  <c r="AA26" i="3"/>
  <c r="Z26" i="3"/>
  <c r="Y26" i="3"/>
  <c r="AC25" i="3"/>
  <c r="AB25" i="3"/>
  <c r="AA25" i="3"/>
  <c r="Z25" i="3"/>
  <c r="Y25" i="3"/>
  <c r="AC24" i="3"/>
  <c r="AB24" i="3"/>
  <c r="AA24" i="3"/>
  <c r="Z24" i="3"/>
  <c r="Y24" i="3"/>
  <c r="AC23" i="3"/>
  <c r="AB23" i="3"/>
  <c r="AA23" i="3"/>
  <c r="Z23" i="3"/>
  <c r="Y23" i="3"/>
  <c r="AC22" i="3"/>
  <c r="AB22" i="3"/>
  <c r="AA22" i="3"/>
  <c r="Z22" i="3"/>
  <c r="Y22" i="3"/>
  <c r="AC21" i="3"/>
  <c r="AB21" i="3"/>
  <c r="AA21" i="3"/>
  <c r="Z21" i="3"/>
  <c r="Y21" i="3"/>
  <c r="AC20" i="3"/>
  <c r="AB20" i="3"/>
  <c r="AA20" i="3"/>
  <c r="Z20" i="3"/>
  <c r="Y20" i="3"/>
  <c r="AC19" i="3"/>
  <c r="AB19" i="3"/>
  <c r="AA19" i="3"/>
  <c r="Z19" i="3"/>
  <c r="Y19" i="3"/>
  <c r="AC18" i="3"/>
  <c r="AB18" i="3"/>
  <c r="AA18" i="3"/>
  <c r="Z18" i="3"/>
  <c r="Y18" i="3"/>
  <c r="AC17" i="3"/>
  <c r="AB17" i="3"/>
  <c r="AA17" i="3"/>
  <c r="Z17" i="3"/>
  <c r="Y17" i="3"/>
  <c r="AC16" i="3"/>
  <c r="AB16" i="3"/>
  <c r="AA16" i="3"/>
  <c r="Z16" i="3"/>
  <c r="Y16" i="3"/>
  <c r="AC15" i="3"/>
  <c r="B9" i="6" s="1"/>
  <c r="AB15" i="3"/>
  <c r="B8" i="6" s="1"/>
  <c r="AA15" i="3"/>
  <c r="Z15" i="3"/>
  <c r="Y15" i="3"/>
  <c r="AC14" i="3"/>
  <c r="AB14" i="3"/>
  <c r="AA14" i="3"/>
  <c r="Z14" i="3"/>
  <c r="AC13" i="3"/>
  <c r="AB13" i="3"/>
  <c r="AA13" i="3"/>
  <c r="Z13" i="3"/>
  <c r="Y13" i="3"/>
  <c r="AC12" i="3"/>
  <c r="AB12" i="3"/>
  <c r="AA12" i="3"/>
  <c r="Z12" i="3"/>
  <c r="Y12" i="3"/>
  <c r="AC11" i="3"/>
  <c r="AB11" i="3"/>
  <c r="AA11" i="3"/>
  <c r="Z11" i="3"/>
  <c r="Y11" i="3"/>
  <c r="AC10" i="3"/>
  <c r="AB10" i="3"/>
  <c r="AA10" i="3"/>
  <c r="Z10" i="3"/>
  <c r="Y10" i="3"/>
  <c r="AC9" i="3"/>
  <c r="AB9" i="3"/>
  <c r="AA9" i="3"/>
  <c r="Z9" i="3"/>
  <c r="Y9" i="3"/>
  <c r="AC8" i="3"/>
  <c r="AB8" i="3"/>
  <c r="AA8" i="3"/>
  <c r="Z8" i="3"/>
  <c r="Y8" i="3"/>
  <c r="AC7" i="3"/>
  <c r="AB7" i="3"/>
  <c r="AA7" i="3"/>
  <c r="Z7" i="3"/>
  <c r="Y7" i="3"/>
  <c r="AC6" i="3"/>
  <c r="AB6" i="3"/>
  <c r="AA6" i="3"/>
  <c r="Z6" i="3"/>
  <c r="Y6" i="3"/>
  <c r="AC5" i="3"/>
  <c r="AB5" i="3"/>
  <c r="AA5" i="3"/>
  <c r="Z5" i="3"/>
  <c r="Y5" i="3"/>
  <c r="AC4" i="3"/>
  <c r="AB4" i="3"/>
  <c r="AA4" i="3"/>
  <c r="Z4" i="3"/>
  <c r="Y4" i="3"/>
  <c r="AC3" i="3"/>
  <c r="AB3" i="3"/>
  <c r="AA3" i="3"/>
  <c r="Z3" i="3"/>
  <c r="Y3" i="3"/>
  <c r="AC2" i="3"/>
  <c r="AB2" i="3"/>
  <c r="AA2" i="3"/>
  <c r="Z2" i="3"/>
  <c r="Y2" i="3"/>
  <c r="F7" i="6" l="1"/>
  <c r="F5" i="6"/>
  <c r="E10" i="6"/>
  <c r="D5" i="6"/>
  <c r="C10" i="6"/>
  <c r="B10" i="6"/>
  <c r="F9" i="6"/>
  <c r="F8" i="6"/>
  <c r="F6" i="6"/>
  <c r="D9" i="6"/>
  <c r="D8" i="6"/>
  <c r="F10" i="6" l="1"/>
  <c r="D10" i="6"/>
</calcChain>
</file>

<file path=xl/sharedStrings.xml><?xml version="1.0" encoding="utf-8"?>
<sst xmlns="http://schemas.openxmlformats.org/spreadsheetml/2006/main" count="352" uniqueCount="111">
  <si>
    <t>Dimension</t>
  </si>
  <si>
    <t>Item Code</t>
  </si>
  <si>
    <t>Tangibles</t>
  </si>
  <si>
    <t>T1</t>
  </si>
  <si>
    <t>T1: The cafe's furniture, decor and outdoor seating are visually appealing.</t>
  </si>
  <si>
    <t>T2</t>
  </si>
  <si>
    <t>T2: The physical facilities (seating area, washrooms, surroundings) are clean and well maintained.</t>
  </si>
  <si>
    <t>T3</t>
  </si>
  <si>
    <t>T3: Employees are neat, well-groomed and appropriately dressed.</t>
  </si>
  <si>
    <t>T4</t>
  </si>
  <si>
    <t>T4: Menus, bills and signage are visually appealing and easy to read.</t>
  </si>
  <si>
    <t>Reliability</t>
  </si>
  <si>
    <t>R1</t>
  </si>
  <si>
    <t>R1: The cafe delivers the correct food/beverage order the first time, every time.</t>
  </si>
  <si>
    <t>R2</t>
  </si>
  <si>
    <t>R2: When the cafe promises to have an order ready by a certain time, it does.</t>
  </si>
  <si>
    <t>R3</t>
  </si>
  <si>
    <t>R3: Food and beverages are prepared consistently to the same standard on every visit.</t>
  </si>
  <si>
    <t>R4</t>
  </si>
  <si>
    <t>R4: When a customer has a problem (wrong order, billing issue), staff show sincere interest in resolving it.</t>
  </si>
  <si>
    <t>Responsiveness</t>
  </si>
  <si>
    <t>RS1</t>
  </si>
  <si>
    <t>RS1: Employees give prompt service to customers.</t>
  </si>
  <si>
    <t>RS2</t>
  </si>
  <si>
    <t>RS2: Employees are willing to help customers, even when busy.</t>
  </si>
  <si>
    <t>RS3</t>
  </si>
  <si>
    <t>RS3: Employees respond quickly when a customer signals for attention.</t>
  </si>
  <si>
    <t>RS4</t>
  </si>
  <si>
    <t>RS4: Waiting time for orders and billing is reasonable.</t>
  </si>
  <si>
    <t>Assurance</t>
  </si>
  <si>
    <t>A1</t>
  </si>
  <si>
    <t>A1: The behaviour of employees instills confidence in customers.</t>
  </si>
  <si>
    <t>A2</t>
  </si>
  <si>
    <t>A2: Customers feel comfortable and safe in their dealings with the cafe.</t>
  </si>
  <si>
    <t>A3</t>
  </si>
  <si>
    <t>A3: Employees are consistently courteous and polite with customers.</t>
  </si>
  <si>
    <t>A4</t>
  </si>
  <si>
    <t>A4: Employees have adequate knowledge to answer questions about the menu, ingredients or allergens.</t>
  </si>
  <si>
    <t>Empathy</t>
  </si>
  <si>
    <t>E1</t>
  </si>
  <si>
    <t>E1: The cafe gives customers individualized/personal attention.</t>
  </si>
  <si>
    <t>E2</t>
  </si>
  <si>
    <t>E2: Employees understand the specific needs and preferences of regular/repeat customers.</t>
  </si>
  <si>
    <t>E3</t>
  </si>
  <si>
    <t>E3: The cafe's operating hours are convenient for its customers.</t>
  </si>
  <si>
    <t>E4</t>
  </si>
  <si>
    <t>Customer_ID</t>
  </si>
  <si>
    <t>Gender</t>
  </si>
  <si>
    <t>Age</t>
  </si>
  <si>
    <t>Visit_Frequency</t>
  </si>
  <si>
    <t>Tangibles Avg</t>
  </si>
  <si>
    <t>Reliability Avg</t>
  </si>
  <si>
    <t>Responsiveness Avg</t>
  </si>
  <si>
    <t>Assurance Avg</t>
  </si>
  <si>
    <t>Empathy Avg</t>
  </si>
  <si>
    <t>C01</t>
  </si>
  <si>
    <t>Female</t>
  </si>
  <si>
    <t>Occasional (2-5 visits)</t>
  </si>
  <si>
    <t>C02</t>
  </si>
  <si>
    <t>Regular (6+ visits)</t>
  </si>
  <si>
    <t>C03</t>
  </si>
  <si>
    <t>Male</t>
  </si>
  <si>
    <t>C04</t>
  </si>
  <si>
    <t>First-time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</si>
  <si>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</si>
  <si>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</si>
  <si>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</si>
  <si>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</si>
  <si>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</si>
  <si>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</si>
  <si>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</si>
  <si>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</si>
  <si>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</si>
  <si>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</si>
  <si>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</si>
  <si>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</si>
  <si>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</si>
  <si>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</si>
  <si>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</si>
  <si>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</si>
  <si>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</si>
  <si>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</si>
  <si>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</si>
  <si>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</si>
  <si>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</si>
  <si>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</si>
  <si>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</si>
  <si>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</si>
  <si>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</si>
  <si>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</si>
  <si>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Employee_ID</t>
  </si>
  <si>
    <t>Role</t>
  </si>
  <si>
    <t>Tenure_Months</t>
  </si>
  <si>
    <t>E01</t>
  </si>
  <si>
    <t>Waitstaff</t>
  </si>
  <si>
    <t>E02</t>
  </si>
  <si>
    <t>E03</t>
  </si>
  <si>
    <t>Barista</t>
  </si>
  <si>
    <t>E04</t>
  </si>
  <si>
    <t>Cashier/Billing</t>
  </si>
  <si>
    <t>E05</t>
  </si>
  <si>
    <t>Floor Supervisor</t>
  </si>
  <si>
    <t>Customer Expectation
(avg, 1-7)</t>
  </si>
  <si>
    <t>Customer Perception
(avg, 1-7)</t>
  </si>
  <si>
    <t>Customer Gap
(P - E)</t>
  </si>
  <si>
    <t>Employee Perception
(avg, 1-7)</t>
  </si>
  <si>
    <t>Employee-Customer
Perception Gap</t>
  </si>
  <si>
    <t>OVERALL</t>
  </si>
  <si>
    <t>Statement</t>
  </si>
  <si>
    <t xml:space="preserve">E4: Employees deal with customers in a warm, caring manner </t>
  </si>
  <si>
    <t>SERVQUAL Gap Analysis - Triveni Terrace 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</si>
</sst>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theme="9" tint="-0.249977111117893"/>
        <bgColor rgb="FF00336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FCE4E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D9D9D9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/>
    <xf numFmtId="0" fontId="0" fillId="6" borderId="1" xfId="0" applyFill="1" applyBorder="1"/>
    <xf numFmtId="2" fontId="2" fillId="8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E4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SERVQUAL Gap by Dimension (Customer Perception − Expectation)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'Gap Analysis'!$D$4</c:f>
              <c:strCache>
                <c:ptCount val="1"/>
                <c:pt idx="0">
                  <c:v>Customer Gap
(P - 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'Gap Analysis'!$A$5:$A$9</c:f>
              <c:strCache>
                <c:ptCount val="5"/>
                <c:pt idx="0">
                  <c:v>Tangibles</c:v>
                </c:pt>
                <c:pt idx="1">
                  <c:v>Reliability</c:v>
                </c:pt>
                <c:pt idx="2">
                  <c:v>Responsiveness</c:v>
                </c:pt>
                <c:pt idx="3">
                  <c:v>Assurance</c:v>
                </c:pt>
                <c:pt idx="4">
                  <c:v>Empathy</c:v>
                </c:pt>
              </c:strCache>
            </c:strRef>
          </c:cat>
          <c:val>
            <c:numRef>
              <c:f>'Gap Analysis'!$D$5:$D$9</c:f>
              <c:numCache>
                <c:formatCode>0.00</c:formatCode>
                <c:ptCount val="5"/>
                <c:pt idx="0">
                  <c:v>0.40833333333333321</c:v>
                </c:pt>
                <c:pt idx="1">
                  <c:v>-0.70833333333333304</c:v>
                </c:pt>
                <c:pt idx="2">
                  <c:v>-1.2749999999999995</c:v>
                </c:pt>
                <c:pt idx="3">
                  <c:v>-0.61666666666666714</c:v>
                </c:pt>
                <c:pt idx="4">
                  <c:v>-0.76666666666666661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B-470A-94A5-3AF251EB1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88918"/>
        <c:axId val="97298978"/>
      </c:barChart>
      <c:catAx>
        <c:axId val="609889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Dimension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98978"/>
        <c:crosses val="autoZero"/>
        <c:auto val="1"/>
        <c:lblAlgn val="ctr"/>
        <c:lblOffset val="100"/>
        <c:noMultiLvlLbl val="0"/>
      </c:catAx>
      <c:valAx>
        <c:axId val="97298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Gap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88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640080</xdr:colOff>
      <xdr:row>10</xdr:row>
      <xdr:rowOff>91980</xdr:rowOff>
    </xdr:from>
    <xdr:to>
      <xdr:col>6</xdr:col>
      <xdr:colOff>67320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tabSelected="1" zoomScaleNormal="100" workbookViewId="0">
      <pane ySplit="1" topLeftCell="A2" activePane="bottomLeft" state="frozen"/>
      <selection pane="bottomLeft" activeCell="F7" sqref="F7"/>
    </sheetView>
  </sheetViews>
  <sheetFormatPr defaultColWidth="8.6640625" defaultRowHeight="14.4" x14ac:dyDescent="0.3"/>
  <cols>
    <col min="1" max="1" width="16" style="2" customWidth="1"/>
    <col min="2" max="2" width="9.77734375" style="2" bestFit="1" customWidth="1"/>
    <col min="3" max="3" width="95" style="2" customWidth="1"/>
    <col min="4" max="16384" width="8.6640625" style="2"/>
  </cols>
  <sheetData>
    <row r="1" spans="1:3" ht="19.5" customHeight="1" x14ac:dyDescent="0.3">
      <c r="A1" s="1" t="s">
        <v>0</v>
      </c>
      <c r="B1" s="1" t="s">
        <v>1</v>
      </c>
      <c r="C1" s="1" t="s">
        <v>108</v>
      </c>
    </row>
    <row r="2" spans="1:3" x14ac:dyDescent="0.3">
      <c r="A2" s="3" t="s">
        <v>2</v>
      </c>
      <c r="B2" s="4" t="s">
        <v>3</v>
      </c>
      <c r="C2" s="3" t="s">
        <v>4</v>
      </c>
    </row>
    <row r="3" spans="1:3" x14ac:dyDescent="0.3">
      <c r="A3" s="3" t="s">
        <v>2</v>
      </c>
      <c r="B3" s="4" t="s">
        <v>5</v>
      </c>
      <c r="C3" s="3" t="s">
        <v>6</v>
      </c>
    </row>
    <row r="4" spans="1:3" x14ac:dyDescent="0.3">
      <c r="A4" s="3" t="s">
        <v>2</v>
      </c>
      <c r="B4" s="4" t="s">
        <v>7</v>
      </c>
      <c r="C4" s="3" t="s">
        <v>8</v>
      </c>
    </row>
    <row r="5" spans="1:3" x14ac:dyDescent="0.3">
      <c r="A5" s="3" t="s">
        <v>2</v>
      </c>
      <c r="B5" s="4" t="s">
        <v>9</v>
      </c>
      <c r="C5" s="3" t="s">
        <v>10</v>
      </c>
    </row>
    <row r="6" spans="1:3" x14ac:dyDescent="0.3">
      <c r="A6" s="3" t="s">
        <v>11</v>
      </c>
      <c r="B6" s="4" t="s">
        <v>12</v>
      </c>
      <c r="C6" s="3" t="s">
        <v>13</v>
      </c>
    </row>
    <row r="7" spans="1:3" x14ac:dyDescent="0.3">
      <c r="A7" s="3" t="s">
        <v>11</v>
      </c>
      <c r="B7" s="4" t="s">
        <v>14</v>
      </c>
      <c r="C7" s="3" t="s">
        <v>15</v>
      </c>
    </row>
    <row r="8" spans="1:3" x14ac:dyDescent="0.3">
      <c r="A8" s="3" t="s">
        <v>11</v>
      </c>
      <c r="B8" s="4" t="s">
        <v>16</v>
      </c>
      <c r="C8" s="3" t="s">
        <v>17</v>
      </c>
    </row>
    <row r="9" spans="1:3" x14ac:dyDescent="0.3">
      <c r="A9" s="3" t="s">
        <v>11</v>
      </c>
      <c r="B9" s="4" t="s">
        <v>18</v>
      </c>
      <c r="C9" s="3" t="s">
        <v>19</v>
      </c>
    </row>
    <row r="10" spans="1:3" x14ac:dyDescent="0.3">
      <c r="A10" s="3" t="s">
        <v>20</v>
      </c>
      <c r="B10" s="4" t="s">
        <v>21</v>
      </c>
      <c r="C10" s="3" t="s">
        <v>22</v>
      </c>
    </row>
    <row r="11" spans="1:3" x14ac:dyDescent="0.3">
      <c r="A11" s="3" t="s">
        <v>20</v>
      </c>
      <c r="B11" s="4" t="s">
        <v>23</v>
      </c>
      <c r="C11" s="3" t="s">
        <v>24</v>
      </c>
    </row>
    <row r="12" spans="1:3" x14ac:dyDescent="0.3">
      <c r="A12" s="3" t="s">
        <v>20</v>
      </c>
      <c r="B12" s="4" t="s">
        <v>25</v>
      </c>
      <c r="C12" s="3" t="s">
        <v>26</v>
      </c>
    </row>
    <row r="13" spans="1:3" x14ac:dyDescent="0.3">
      <c r="A13" s="3" t="s">
        <v>20</v>
      </c>
      <c r="B13" s="4" t="s">
        <v>27</v>
      </c>
      <c r="C13" s="3" t="s">
        <v>28</v>
      </c>
    </row>
    <row r="14" spans="1:3" x14ac:dyDescent="0.3">
      <c r="A14" s="3" t="s">
        <v>29</v>
      </c>
      <c r="B14" s="4" t="s">
        <v>30</v>
      </c>
      <c r="C14" s="3" t="s">
        <v>31</v>
      </c>
    </row>
    <row r="15" spans="1:3" x14ac:dyDescent="0.3">
      <c r="A15" s="3" t="s">
        <v>29</v>
      </c>
      <c r="B15" s="4" t="s">
        <v>32</v>
      </c>
      <c r="C15" s="3" t="s">
        <v>33</v>
      </c>
    </row>
    <row r="16" spans="1:3" x14ac:dyDescent="0.3">
      <c r="A16" s="3" t="s">
        <v>29</v>
      </c>
      <c r="B16" s="4" t="s">
        <v>34</v>
      </c>
      <c r="C16" s="3" t="s">
        <v>35</v>
      </c>
    </row>
    <row r="17" spans="1:3" x14ac:dyDescent="0.3">
      <c r="A17" s="3" t="s">
        <v>29</v>
      </c>
      <c r="B17" s="4" t="s">
        <v>36</v>
      </c>
      <c r="C17" s="3" t="s">
        <v>37</v>
      </c>
    </row>
    <row r="18" spans="1:3" x14ac:dyDescent="0.3">
      <c r="A18" s="3" t="s">
        <v>38</v>
      </c>
      <c r="B18" s="4" t="s">
        <v>39</v>
      </c>
      <c r="C18" s="3" t="s">
        <v>40</v>
      </c>
    </row>
    <row r="19" spans="1:3" x14ac:dyDescent="0.3">
      <c r="A19" s="3" t="s">
        <v>38</v>
      </c>
      <c r="B19" s="4" t="s">
        <v>41</v>
      </c>
      <c r="C19" s="3" t="s">
        <v>42</v>
      </c>
    </row>
    <row r="20" spans="1:3" x14ac:dyDescent="0.3">
      <c r="A20" s="3" t="s">
        <v>38</v>
      </c>
      <c r="B20" s="4" t="s">
        <v>43</v>
      </c>
      <c r="C20" s="3" t="s">
        <v>44</v>
      </c>
    </row>
    <row r="21" spans="1:3" x14ac:dyDescent="0.3">
      <c r="A21" s="3" t="s">
        <v>38</v>
      </c>
      <c r="B21" s="4" t="s">
        <v>45</v>
      </c>
      <c r="C21" s="5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1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5" sqref="H5"/>
    </sheetView>
  </sheetViews>
  <sheetFormatPr defaultColWidth="8.6640625" defaultRowHeight="14.4" x14ac:dyDescent="0.3"/>
  <cols>
    <col min="1" max="1" width="11" style="2" bestFit="1" customWidth="1"/>
    <col min="2" max="3" width="14" style="2" customWidth="1"/>
    <col min="4" max="4" width="19.21875" style="2" bestFit="1" customWidth="1"/>
    <col min="5" max="24" width="6" style="2" customWidth="1"/>
    <col min="25" max="29" width="12" style="2" customWidth="1"/>
    <col min="30" max="16384" width="8.6640625" style="2"/>
  </cols>
  <sheetData>
    <row r="1" spans="1:29" ht="27.75" customHeight="1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3</v>
      </c>
      <c r="F1" s="6" t="s">
        <v>5</v>
      </c>
      <c r="G1" s="6" t="s">
        <v>7</v>
      </c>
      <c r="H1" s="6" t="s">
        <v>9</v>
      </c>
      <c r="I1" s="6" t="s">
        <v>12</v>
      </c>
      <c r="J1" s="6" t="s">
        <v>14</v>
      </c>
      <c r="K1" s="6" t="s">
        <v>16</v>
      </c>
      <c r="L1" s="6" t="s">
        <v>18</v>
      </c>
      <c r="M1" s="6" t="s">
        <v>21</v>
      </c>
      <c r="N1" s="6" t="s">
        <v>23</v>
      </c>
      <c r="O1" s="6" t="s">
        <v>25</v>
      </c>
      <c r="P1" s="6" t="s">
        <v>27</v>
      </c>
      <c r="Q1" s="6" t="s">
        <v>30</v>
      </c>
      <c r="R1" s="6" t="s">
        <v>32</v>
      </c>
      <c r="S1" s="6" t="s">
        <v>34</v>
      </c>
      <c r="T1" s="6" t="s">
        <v>36</v>
      </c>
      <c r="U1" s="6" t="s">
        <v>39</v>
      </c>
      <c r="V1" s="6" t="s">
        <v>41</v>
      </c>
      <c r="W1" s="6" t="s">
        <v>43</v>
      </c>
      <c r="X1" s="6" t="s">
        <v>45</v>
      </c>
      <c r="Y1" s="6" t="s">
        <v>50</v>
      </c>
      <c r="Z1" s="6" t="s">
        <v>51</v>
      </c>
      <c r="AA1" s="6" t="s">
        <v>52</v>
      </c>
      <c r="AB1" s="6" t="s">
        <v>53</v>
      </c>
      <c r="AC1" s="6" t="s">
        <v>54</v>
      </c>
    </row>
    <row r="2" spans="1:29" x14ac:dyDescent="0.3">
      <c r="A2" s="7" t="s">
        <v>55</v>
      </c>
      <c r="B2" s="7" t="s">
        <v>56</v>
      </c>
      <c r="C2" s="7">
        <v>35</v>
      </c>
      <c r="D2" s="7" t="s">
        <v>57</v>
      </c>
      <c r="E2" s="10">
        <v>6</v>
      </c>
      <c r="F2" s="10">
        <v>7</v>
      </c>
      <c r="G2" s="10">
        <v>7</v>
      </c>
      <c r="H2" s="10">
        <v>6</v>
      </c>
      <c r="I2" s="10">
        <v>6</v>
      </c>
      <c r="J2" s="10">
        <v>7</v>
      </c>
      <c r="K2" s="10">
        <v>5</v>
      </c>
      <c r="L2" s="8">
        <v>6</v>
      </c>
      <c r="M2" s="8">
        <v>6</v>
      </c>
      <c r="N2" s="8">
        <v>6</v>
      </c>
      <c r="O2" s="8">
        <v>6</v>
      </c>
      <c r="P2" s="8">
        <v>7</v>
      </c>
      <c r="Q2" s="8">
        <v>6</v>
      </c>
      <c r="R2" s="8">
        <v>5</v>
      </c>
      <c r="S2" s="8">
        <v>5</v>
      </c>
      <c r="T2" s="8">
        <v>5</v>
      </c>
      <c r="U2" s="8">
        <v>5</v>
      </c>
      <c r="V2" s="8">
        <v>6</v>
      </c>
      <c r="W2" s="8">
        <v>6</v>
      </c>
      <c r="X2" s="8">
        <v>6</v>
      </c>
      <c r="Y2" s="9">
        <f t="shared" ref="Y2:Y31" si="0">AVERAGE(E2:H2)</f>
        <v>6.5</v>
      </c>
      <c r="Z2" s="9">
        <f t="shared" ref="Z2:Z31" si="1">AVERAGE(I2:L2)</f>
        <v>6</v>
      </c>
      <c r="AA2" s="9">
        <f t="shared" ref="AA2:AA31" si="2">AVERAGE(M2:P2)</f>
        <v>6.25</v>
      </c>
      <c r="AB2" s="9">
        <f t="shared" ref="AB2:AB31" si="3">AVERAGE(Q2:T2)</f>
        <v>5.25</v>
      </c>
      <c r="AC2" s="9">
        <f t="shared" ref="AC2:AC31" si="4">AVERAGE(U2:X2)</f>
        <v>5.75</v>
      </c>
    </row>
    <row r="3" spans="1:29" x14ac:dyDescent="0.3">
      <c r="A3" s="7" t="s">
        <v>58</v>
      </c>
      <c r="B3" s="7" t="s">
        <v>56</v>
      </c>
      <c r="C3" s="7">
        <v>38</v>
      </c>
      <c r="D3" s="7" t="s">
        <v>59</v>
      </c>
      <c r="E3" s="10">
        <v>7</v>
      </c>
      <c r="F3" s="10">
        <v>6</v>
      </c>
      <c r="G3" s="10">
        <v>6</v>
      </c>
      <c r="H3" s="10">
        <v>5</v>
      </c>
      <c r="I3" s="10">
        <v>6</v>
      </c>
      <c r="J3" s="10">
        <v>6</v>
      </c>
      <c r="K3" s="10">
        <v>7</v>
      </c>
      <c r="L3" s="8">
        <v>6</v>
      </c>
      <c r="M3" s="8">
        <v>7</v>
      </c>
      <c r="N3" s="8">
        <v>7</v>
      </c>
      <c r="O3" s="8">
        <v>6</v>
      </c>
      <c r="P3" s="8">
        <v>6</v>
      </c>
      <c r="Q3" s="8">
        <v>7</v>
      </c>
      <c r="R3" s="8">
        <v>6</v>
      </c>
      <c r="S3" s="8">
        <v>7</v>
      </c>
      <c r="T3" s="8">
        <v>6</v>
      </c>
      <c r="U3" s="8">
        <v>6</v>
      </c>
      <c r="V3" s="8">
        <v>6</v>
      </c>
      <c r="W3" s="8">
        <v>6</v>
      </c>
      <c r="X3" s="8">
        <v>4</v>
      </c>
      <c r="Y3" s="9">
        <f t="shared" si="0"/>
        <v>6</v>
      </c>
      <c r="Z3" s="9">
        <f t="shared" si="1"/>
        <v>6.25</v>
      </c>
      <c r="AA3" s="9">
        <f t="shared" si="2"/>
        <v>6.5</v>
      </c>
      <c r="AB3" s="9">
        <f t="shared" si="3"/>
        <v>6.5</v>
      </c>
      <c r="AC3" s="9">
        <f t="shared" si="4"/>
        <v>5.5</v>
      </c>
    </row>
    <row r="4" spans="1:29" x14ac:dyDescent="0.3">
      <c r="A4" s="7" t="s">
        <v>60</v>
      </c>
      <c r="B4" s="7" t="s">
        <v>61</v>
      </c>
      <c r="C4" s="7">
        <v>37</v>
      </c>
      <c r="D4" s="7" t="s">
        <v>59</v>
      </c>
      <c r="E4" s="10">
        <v>5</v>
      </c>
      <c r="F4" s="10">
        <v>6</v>
      </c>
      <c r="G4" s="10">
        <v>5</v>
      </c>
      <c r="H4" s="10">
        <v>5</v>
      </c>
      <c r="I4" s="10">
        <v>7</v>
      </c>
      <c r="J4" s="10">
        <v>7</v>
      </c>
      <c r="K4" s="10">
        <v>6</v>
      </c>
      <c r="L4" s="8">
        <v>7</v>
      </c>
      <c r="M4" s="8">
        <v>7</v>
      </c>
      <c r="N4" s="8">
        <v>6</v>
      </c>
      <c r="O4" s="8">
        <v>6</v>
      </c>
      <c r="P4" s="8">
        <v>6</v>
      </c>
      <c r="Q4" s="8">
        <v>6</v>
      </c>
      <c r="R4" s="8">
        <v>6</v>
      </c>
      <c r="S4" s="8">
        <v>5</v>
      </c>
      <c r="T4" s="8">
        <v>6</v>
      </c>
      <c r="U4" s="8">
        <v>6</v>
      </c>
      <c r="V4" s="8">
        <v>5</v>
      </c>
      <c r="W4" s="8">
        <v>6</v>
      </c>
      <c r="X4" s="8">
        <v>5</v>
      </c>
      <c r="Y4" s="9">
        <f t="shared" si="0"/>
        <v>5.25</v>
      </c>
      <c r="Z4" s="9">
        <f t="shared" si="1"/>
        <v>6.75</v>
      </c>
      <c r="AA4" s="9">
        <f t="shared" si="2"/>
        <v>6.25</v>
      </c>
      <c r="AB4" s="9">
        <f t="shared" si="3"/>
        <v>5.75</v>
      </c>
      <c r="AC4" s="9">
        <f t="shared" si="4"/>
        <v>5.5</v>
      </c>
    </row>
    <row r="5" spans="1:29" x14ac:dyDescent="0.3">
      <c r="A5" s="7" t="s">
        <v>62</v>
      </c>
      <c r="B5" s="7" t="s">
        <v>56</v>
      </c>
      <c r="C5" s="7">
        <v>31</v>
      </c>
      <c r="D5" s="7" t="s">
        <v>63</v>
      </c>
      <c r="E5" s="10">
        <v>7</v>
      </c>
      <c r="F5" s="10">
        <v>6</v>
      </c>
      <c r="G5" s="10">
        <v>5</v>
      </c>
      <c r="H5" s="10">
        <v>5</v>
      </c>
      <c r="I5" s="10">
        <v>7</v>
      </c>
      <c r="J5" s="10">
        <v>7</v>
      </c>
      <c r="K5" s="10">
        <v>6</v>
      </c>
      <c r="L5" s="8">
        <v>6</v>
      </c>
      <c r="M5" s="8">
        <v>6</v>
      </c>
      <c r="N5" s="8">
        <v>7</v>
      </c>
      <c r="O5" s="8">
        <v>6</v>
      </c>
      <c r="P5" s="8">
        <v>6</v>
      </c>
      <c r="Q5" s="8">
        <v>6</v>
      </c>
      <c r="R5" s="8">
        <v>6</v>
      </c>
      <c r="S5" s="8">
        <v>7</v>
      </c>
      <c r="T5" s="8">
        <v>6</v>
      </c>
      <c r="U5" s="8">
        <v>6</v>
      </c>
      <c r="V5" s="8">
        <v>6</v>
      </c>
      <c r="W5" s="8">
        <v>5</v>
      </c>
      <c r="X5" s="8">
        <v>6</v>
      </c>
      <c r="Y5" s="9">
        <f t="shared" si="0"/>
        <v>5.75</v>
      </c>
      <c r="Z5" s="9">
        <f t="shared" si="1"/>
        <v>6.5</v>
      </c>
      <c r="AA5" s="9">
        <f t="shared" si="2"/>
        <v>6.25</v>
      </c>
      <c r="AB5" s="9">
        <f t="shared" si="3"/>
        <v>6.25</v>
      </c>
      <c r="AC5" s="9">
        <f t="shared" si="4"/>
        <v>5.75</v>
      </c>
    </row>
    <row r="6" spans="1:29" x14ac:dyDescent="0.3">
      <c r="A6" s="7" t="s">
        <v>64</v>
      </c>
      <c r="B6" s="7" t="s">
        <v>61</v>
      </c>
      <c r="C6" s="7">
        <v>53</v>
      </c>
      <c r="D6" s="7" t="s">
        <v>57</v>
      </c>
      <c r="E6" s="10">
        <v>5</v>
      </c>
      <c r="F6" s="10">
        <v>6</v>
      </c>
      <c r="G6" s="10">
        <v>6</v>
      </c>
      <c r="H6" s="10">
        <v>5</v>
      </c>
      <c r="I6" s="10">
        <v>6</v>
      </c>
      <c r="J6" s="10">
        <v>5</v>
      </c>
      <c r="K6" s="10">
        <v>6</v>
      </c>
      <c r="L6" s="8">
        <v>6</v>
      </c>
      <c r="M6" s="8">
        <v>7</v>
      </c>
      <c r="N6" s="8">
        <v>7</v>
      </c>
      <c r="O6" s="8">
        <v>7</v>
      </c>
      <c r="P6" s="8">
        <v>6</v>
      </c>
      <c r="Q6" s="8">
        <v>6</v>
      </c>
      <c r="R6" s="8">
        <v>7</v>
      </c>
      <c r="S6" s="8">
        <v>6</v>
      </c>
      <c r="T6" s="8">
        <v>7</v>
      </c>
      <c r="U6" s="8">
        <v>7</v>
      </c>
      <c r="V6" s="8">
        <v>7</v>
      </c>
      <c r="W6" s="8">
        <v>6</v>
      </c>
      <c r="X6" s="8">
        <v>6</v>
      </c>
      <c r="Y6" s="9">
        <f t="shared" si="0"/>
        <v>5.5</v>
      </c>
      <c r="Z6" s="9">
        <f t="shared" si="1"/>
        <v>5.75</v>
      </c>
      <c r="AA6" s="9">
        <f t="shared" si="2"/>
        <v>6.75</v>
      </c>
      <c r="AB6" s="9">
        <f t="shared" si="3"/>
        <v>6.5</v>
      </c>
      <c r="AC6" s="9">
        <f t="shared" si="4"/>
        <v>6.5</v>
      </c>
    </row>
    <row r="7" spans="1:29" x14ac:dyDescent="0.3">
      <c r="A7" s="7" t="s">
        <v>65</v>
      </c>
      <c r="B7" s="7" t="s">
        <v>56</v>
      </c>
      <c r="C7" s="7">
        <v>32</v>
      </c>
      <c r="D7" s="7" t="s">
        <v>59</v>
      </c>
      <c r="E7" s="10">
        <v>6</v>
      </c>
      <c r="F7" s="10">
        <v>7</v>
      </c>
      <c r="G7" s="10">
        <v>6</v>
      </c>
      <c r="H7" s="10">
        <v>6</v>
      </c>
      <c r="I7" s="10">
        <v>7</v>
      </c>
      <c r="J7" s="10">
        <v>7</v>
      </c>
      <c r="K7" s="10">
        <v>6</v>
      </c>
      <c r="L7" s="8">
        <v>7</v>
      </c>
      <c r="M7" s="8">
        <v>7</v>
      </c>
      <c r="N7" s="8">
        <v>6</v>
      </c>
      <c r="O7" s="8">
        <v>5</v>
      </c>
      <c r="P7" s="8">
        <v>6</v>
      </c>
      <c r="Q7" s="8">
        <v>6</v>
      </c>
      <c r="R7" s="8">
        <v>6</v>
      </c>
      <c r="S7" s="8">
        <v>5</v>
      </c>
      <c r="T7" s="8">
        <v>6</v>
      </c>
      <c r="U7" s="8">
        <v>5</v>
      </c>
      <c r="V7" s="8">
        <v>7</v>
      </c>
      <c r="W7" s="8">
        <v>6</v>
      </c>
      <c r="X7" s="8">
        <v>6</v>
      </c>
      <c r="Y7" s="9">
        <f t="shared" si="0"/>
        <v>6.25</v>
      </c>
      <c r="Z7" s="9">
        <f t="shared" si="1"/>
        <v>6.75</v>
      </c>
      <c r="AA7" s="9">
        <f t="shared" si="2"/>
        <v>6</v>
      </c>
      <c r="AB7" s="9">
        <f t="shared" si="3"/>
        <v>5.75</v>
      </c>
      <c r="AC7" s="9">
        <f t="shared" si="4"/>
        <v>6</v>
      </c>
    </row>
    <row r="8" spans="1:29" x14ac:dyDescent="0.3">
      <c r="A8" s="7" t="s">
        <v>66</v>
      </c>
      <c r="B8" s="7" t="s">
        <v>56</v>
      </c>
      <c r="C8" s="7">
        <v>42</v>
      </c>
      <c r="D8" s="7" t="s">
        <v>63</v>
      </c>
      <c r="E8" s="10">
        <v>5</v>
      </c>
      <c r="F8" s="10">
        <v>6</v>
      </c>
      <c r="G8" s="10">
        <v>6</v>
      </c>
      <c r="H8" s="10">
        <v>7</v>
      </c>
      <c r="I8" s="10">
        <v>7</v>
      </c>
      <c r="J8" s="10">
        <v>6</v>
      </c>
      <c r="K8" s="10">
        <v>6</v>
      </c>
      <c r="L8" s="8">
        <v>6</v>
      </c>
      <c r="M8" s="8">
        <v>6</v>
      </c>
      <c r="N8" s="8">
        <v>7</v>
      </c>
      <c r="O8" s="8">
        <v>7</v>
      </c>
      <c r="P8" s="8">
        <v>7</v>
      </c>
      <c r="Q8" s="8">
        <v>6</v>
      </c>
      <c r="R8" s="8">
        <v>5</v>
      </c>
      <c r="S8" s="8">
        <v>7</v>
      </c>
      <c r="T8" s="8">
        <v>6</v>
      </c>
      <c r="U8" s="8">
        <v>6</v>
      </c>
      <c r="V8" s="8">
        <v>6</v>
      </c>
      <c r="W8" s="8">
        <v>5</v>
      </c>
      <c r="X8" s="8">
        <v>5</v>
      </c>
      <c r="Y8" s="9">
        <f t="shared" si="0"/>
        <v>6</v>
      </c>
      <c r="Z8" s="9">
        <f t="shared" si="1"/>
        <v>6.25</v>
      </c>
      <c r="AA8" s="9">
        <f t="shared" si="2"/>
        <v>6.75</v>
      </c>
      <c r="AB8" s="9">
        <f t="shared" si="3"/>
        <v>6</v>
      </c>
      <c r="AC8" s="9">
        <f t="shared" si="4"/>
        <v>5.5</v>
      </c>
    </row>
    <row r="9" spans="1:29" x14ac:dyDescent="0.3">
      <c r="A9" s="7" t="s">
        <v>67</v>
      </c>
      <c r="B9" s="7" t="s">
        <v>61</v>
      </c>
      <c r="C9" s="7">
        <v>32</v>
      </c>
      <c r="D9" s="11" t="s">
        <v>59</v>
      </c>
      <c r="E9" s="10">
        <v>6</v>
      </c>
      <c r="F9" s="10">
        <v>6</v>
      </c>
      <c r="G9" s="10">
        <v>5</v>
      </c>
      <c r="H9" s="10">
        <v>5</v>
      </c>
      <c r="I9" s="10">
        <v>7</v>
      </c>
      <c r="J9" s="10">
        <v>7</v>
      </c>
      <c r="K9" s="10">
        <v>7</v>
      </c>
      <c r="L9" s="8">
        <v>7</v>
      </c>
      <c r="M9" s="8">
        <v>7</v>
      </c>
      <c r="N9" s="8">
        <v>7</v>
      </c>
      <c r="O9" s="8">
        <v>7</v>
      </c>
      <c r="P9" s="8">
        <v>6</v>
      </c>
      <c r="Q9" s="8">
        <v>6</v>
      </c>
      <c r="R9" s="8">
        <v>7</v>
      </c>
      <c r="S9" s="8">
        <v>6</v>
      </c>
      <c r="T9" s="8">
        <v>6</v>
      </c>
      <c r="U9" s="8">
        <v>6</v>
      </c>
      <c r="V9" s="8">
        <v>6</v>
      </c>
      <c r="W9" s="8">
        <v>6</v>
      </c>
      <c r="X9" s="8">
        <v>6</v>
      </c>
      <c r="Y9" s="9">
        <f t="shared" si="0"/>
        <v>5.5</v>
      </c>
      <c r="Z9" s="9">
        <f t="shared" si="1"/>
        <v>7</v>
      </c>
      <c r="AA9" s="9">
        <f t="shared" si="2"/>
        <v>6.75</v>
      </c>
      <c r="AB9" s="9">
        <f t="shared" si="3"/>
        <v>6.25</v>
      </c>
      <c r="AC9" s="9">
        <f t="shared" si="4"/>
        <v>6</v>
      </c>
    </row>
    <row r="10" spans="1:29" x14ac:dyDescent="0.3">
      <c r="A10" s="7" t="s">
        <v>68</v>
      </c>
      <c r="B10" s="7" t="s">
        <v>56</v>
      </c>
      <c r="C10" s="7">
        <v>35</v>
      </c>
      <c r="D10" s="7" t="s">
        <v>59</v>
      </c>
      <c r="E10" s="10">
        <v>6</v>
      </c>
      <c r="F10" s="10">
        <v>6</v>
      </c>
      <c r="G10" s="10">
        <v>6</v>
      </c>
      <c r="H10" s="10">
        <v>6</v>
      </c>
      <c r="I10" s="10">
        <v>5</v>
      </c>
      <c r="J10" s="10">
        <v>5</v>
      </c>
      <c r="K10" s="10">
        <v>6</v>
      </c>
      <c r="L10" s="8">
        <v>5</v>
      </c>
      <c r="M10" s="8">
        <v>7</v>
      </c>
      <c r="N10" s="8">
        <v>6</v>
      </c>
      <c r="O10" s="8">
        <v>7</v>
      </c>
      <c r="P10" s="8">
        <v>6</v>
      </c>
      <c r="Q10" s="8">
        <v>6</v>
      </c>
      <c r="R10" s="8">
        <v>6</v>
      </c>
      <c r="S10" s="8">
        <v>6</v>
      </c>
      <c r="T10" s="8">
        <v>6</v>
      </c>
      <c r="U10" s="8">
        <v>5</v>
      </c>
      <c r="V10" s="8">
        <v>5</v>
      </c>
      <c r="W10" s="8">
        <v>6</v>
      </c>
      <c r="X10" s="8">
        <v>6</v>
      </c>
      <c r="Y10" s="9">
        <f t="shared" si="0"/>
        <v>6</v>
      </c>
      <c r="Z10" s="9">
        <f t="shared" si="1"/>
        <v>5.25</v>
      </c>
      <c r="AA10" s="9">
        <f t="shared" si="2"/>
        <v>6.5</v>
      </c>
      <c r="AB10" s="9">
        <f t="shared" si="3"/>
        <v>6</v>
      </c>
      <c r="AC10" s="9">
        <f t="shared" si="4"/>
        <v>5.5</v>
      </c>
    </row>
    <row r="11" spans="1:29" x14ac:dyDescent="0.3">
      <c r="A11" s="7" t="s">
        <v>69</v>
      </c>
      <c r="B11" s="7" t="s">
        <v>61</v>
      </c>
      <c r="C11" s="7">
        <v>54</v>
      </c>
      <c r="D11" s="7" t="s">
        <v>57</v>
      </c>
      <c r="E11" s="10">
        <v>7</v>
      </c>
      <c r="F11" s="10">
        <v>7</v>
      </c>
      <c r="G11" s="10">
        <v>7</v>
      </c>
      <c r="H11" s="10">
        <v>6</v>
      </c>
      <c r="I11" s="10">
        <v>7</v>
      </c>
      <c r="J11" s="10">
        <v>7</v>
      </c>
      <c r="K11" s="10">
        <v>7</v>
      </c>
      <c r="L11" s="8">
        <v>7</v>
      </c>
      <c r="M11" s="8">
        <v>6</v>
      </c>
      <c r="N11" s="8">
        <v>6</v>
      </c>
      <c r="O11" s="8">
        <v>6</v>
      </c>
      <c r="P11" s="8">
        <v>5</v>
      </c>
      <c r="Q11" s="8">
        <v>6</v>
      </c>
      <c r="R11" s="8">
        <v>7</v>
      </c>
      <c r="S11" s="8">
        <v>7</v>
      </c>
      <c r="T11" s="8">
        <v>6</v>
      </c>
      <c r="U11" s="8">
        <v>7</v>
      </c>
      <c r="V11" s="8">
        <v>7</v>
      </c>
      <c r="W11" s="8">
        <v>6</v>
      </c>
      <c r="X11" s="8">
        <v>7</v>
      </c>
      <c r="Y11" s="9">
        <f t="shared" si="0"/>
        <v>6.75</v>
      </c>
      <c r="Z11" s="9">
        <f t="shared" si="1"/>
        <v>7</v>
      </c>
      <c r="AA11" s="9">
        <f t="shared" si="2"/>
        <v>5.75</v>
      </c>
      <c r="AB11" s="9">
        <f t="shared" si="3"/>
        <v>6.5</v>
      </c>
      <c r="AC11" s="9">
        <f t="shared" si="4"/>
        <v>6.75</v>
      </c>
    </row>
    <row r="12" spans="1:29" x14ac:dyDescent="0.3">
      <c r="A12" s="7" t="s">
        <v>70</v>
      </c>
      <c r="B12" s="7" t="s">
        <v>61</v>
      </c>
      <c r="C12" s="7">
        <v>25</v>
      </c>
      <c r="D12" s="7" t="s">
        <v>57</v>
      </c>
      <c r="E12" s="10">
        <v>6</v>
      </c>
      <c r="F12" s="10">
        <v>6</v>
      </c>
      <c r="G12" s="10">
        <v>6</v>
      </c>
      <c r="H12" s="10">
        <v>7</v>
      </c>
      <c r="I12" s="10">
        <v>7</v>
      </c>
      <c r="J12" s="10">
        <v>6</v>
      </c>
      <c r="K12" s="10">
        <v>6</v>
      </c>
      <c r="L12" s="8">
        <v>5</v>
      </c>
      <c r="M12" s="8">
        <v>5</v>
      </c>
      <c r="N12" s="8">
        <v>7</v>
      </c>
      <c r="O12" s="8">
        <v>5</v>
      </c>
      <c r="P12" s="8">
        <v>5</v>
      </c>
      <c r="Q12" s="8">
        <v>6</v>
      </c>
      <c r="R12" s="8">
        <v>5</v>
      </c>
      <c r="S12" s="8">
        <v>6</v>
      </c>
      <c r="T12" s="8">
        <v>4</v>
      </c>
      <c r="U12" s="8">
        <v>5</v>
      </c>
      <c r="V12" s="8">
        <v>6</v>
      </c>
      <c r="W12" s="8">
        <v>6</v>
      </c>
      <c r="X12" s="8">
        <v>6</v>
      </c>
      <c r="Y12" s="9">
        <f t="shared" si="0"/>
        <v>6.25</v>
      </c>
      <c r="Z12" s="9">
        <f t="shared" si="1"/>
        <v>6</v>
      </c>
      <c r="AA12" s="9">
        <f t="shared" si="2"/>
        <v>5.5</v>
      </c>
      <c r="AB12" s="9">
        <f t="shared" si="3"/>
        <v>5.25</v>
      </c>
      <c r="AC12" s="9">
        <f t="shared" si="4"/>
        <v>5.75</v>
      </c>
    </row>
    <row r="13" spans="1:29" x14ac:dyDescent="0.3">
      <c r="A13" s="7" t="s">
        <v>71</v>
      </c>
      <c r="B13" s="7" t="s">
        <v>61</v>
      </c>
      <c r="C13" s="7">
        <v>41</v>
      </c>
      <c r="D13" s="7" t="s">
        <v>63</v>
      </c>
      <c r="E13" s="10">
        <v>6</v>
      </c>
      <c r="F13" s="10">
        <v>6</v>
      </c>
      <c r="G13" s="10">
        <v>5</v>
      </c>
      <c r="H13" s="10">
        <v>7</v>
      </c>
      <c r="I13" s="10">
        <v>7</v>
      </c>
      <c r="J13" s="10">
        <v>7</v>
      </c>
      <c r="K13" s="10">
        <v>7</v>
      </c>
      <c r="L13" s="8">
        <v>7</v>
      </c>
      <c r="M13" s="8">
        <v>6</v>
      </c>
      <c r="N13" s="8">
        <v>6</v>
      </c>
      <c r="O13" s="8">
        <v>6</v>
      </c>
      <c r="P13" s="8">
        <v>6</v>
      </c>
      <c r="Q13" s="8">
        <v>7</v>
      </c>
      <c r="R13" s="8">
        <v>7</v>
      </c>
      <c r="S13" s="8">
        <v>6</v>
      </c>
      <c r="T13" s="8">
        <v>6</v>
      </c>
      <c r="U13" s="8">
        <v>7</v>
      </c>
      <c r="V13" s="8">
        <v>5</v>
      </c>
      <c r="W13" s="8">
        <v>6</v>
      </c>
      <c r="X13" s="8">
        <v>6</v>
      </c>
      <c r="Y13" s="9">
        <f t="shared" si="0"/>
        <v>6</v>
      </c>
      <c r="Z13" s="9">
        <f t="shared" si="1"/>
        <v>7</v>
      </c>
      <c r="AA13" s="9">
        <f t="shared" si="2"/>
        <v>6</v>
      </c>
      <c r="AB13" s="9">
        <f t="shared" si="3"/>
        <v>6.5</v>
      </c>
      <c r="AC13" s="9">
        <f t="shared" si="4"/>
        <v>6</v>
      </c>
    </row>
    <row r="14" spans="1:29" x14ac:dyDescent="0.3">
      <c r="A14" s="7" t="s">
        <v>72</v>
      </c>
      <c r="B14" s="7" t="s">
        <v>56</v>
      </c>
      <c r="C14" s="7">
        <v>34</v>
      </c>
      <c r="D14" s="7" t="s">
        <v>63</v>
      </c>
      <c r="E14" s="10">
        <v>6</v>
      </c>
      <c r="F14" s="10">
        <v>6</v>
      </c>
      <c r="G14" s="10">
        <v>6</v>
      </c>
      <c r="H14" s="10">
        <v>6</v>
      </c>
      <c r="I14" s="10">
        <v>6</v>
      </c>
      <c r="J14" s="10">
        <v>5</v>
      </c>
      <c r="K14" s="10">
        <v>6</v>
      </c>
      <c r="L14" s="8">
        <v>6</v>
      </c>
      <c r="M14" s="8">
        <v>6</v>
      </c>
      <c r="N14" s="8">
        <v>7</v>
      </c>
      <c r="O14" s="8">
        <v>6</v>
      </c>
      <c r="P14" s="8">
        <v>7</v>
      </c>
      <c r="Q14" s="8">
        <v>7</v>
      </c>
      <c r="R14" s="8">
        <v>7</v>
      </c>
      <c r="S14" s="8">
        <v>7</v>
      </c>
      <c r="T14" s="8">
        <v>7</v>
      </c>
      <c r="U14" s="8">
        <v>7</v>
      </c>
      <c r="V14" s="8">
        <v>6</v>
      </c>
      <c r="W14" s="8">
        <v>5</v>
      </c>
      <c r="X14" s="8">
        <v>6</v>
      </c>
      <c r="Y14" s="9">
        <f>AVERAGE(E14:H14)</f>
        <v>6</v>
      </c>
      <c r="Z14" s="9">
        <f t="shared" si="1"/>
        <v>5.75</v>
      </c>
      <c r="AA14" s="9">
        <f t="shared" si="2"/>
        <v>6.5</v>
      </c>
      <c r="AB14" s="9">
        <f t="shared" si="3"/>
        <v>7</v>
      </c>
      <c r="AC14" s="9">
        <f t="shared" si="4"/>
        <v>6</v>
      </c>
    </row>
    <row r="15" spans="1:29" x14ac:dyDescent="0.3">
      <c r="A15" s="7" t="s">
        <v>73</v>
      </c>
      <c r="B15" s="7" t="s">
        <v>61</v>
      </c>
      <c r="C15" s="7">
        <v>43</v>
      </c>
      <c r="D15" s="7" t="s">
        <v>57</v>
      </c>
      <c r="E15" s="10">
        <v>5</v>
      </c>
      <c r="F15" s="10">
        <v>6</v>
      </c>
      <c r="G15" s="10">
        <v>7</v>
      </c>
      <c r="H15" s="10">
        <v>6</v>
      </c>
      <c r="I15" s="10">
        <v>6</v>
      </c>
      <c r="J15" s="10">
        <v>7</v>
      </c>
      <c r="K15" s="10">
        <v>7</v>
      </c>
      <c r="L15" s="8">
        <v>7</v>
      </c>
      <c r="M15" s="8">
        <v>7</v>
      </c>
      <c r="N15" s="8">
        <v>7</v>
      </c>
      <c r="O15" s="8">
        <v>6</v>
      </c>
      <c r="P15" s="8">
        <v>7</v>
      </c>
      <c r="Q15" s="8">
        <v>6</v>
      </c>
      <c r="R15" s="8">
        <v>6</v>
      </c>
      <c r="S15" s="8">
        <v>5</v>
      </c>
      <c r="T15" s="8">
        <v>6</v>
      </c>
      <c r="U15" s="8">
        <v>5</v>
      </c>
      <c r="V15" s="8">
        <v>6</v>
      </c>
      <c r="W15" s="8">
        <v>6</v>
      </c>
      <c r="X15" s="8">
        <v>6</v>
      </c>
      <c r="Y15" s="9">
        <f t="shared" si="0"/>
        <v>6</v>
      </c>
      <c r="Z15" s="9">
        <f t="shared" si="1"/>
        <v>6.75</v>
      </c>
      <c r="AA15" s="9">
        <f t="shared" si="2"/>
        <v>6.75</v>
      </c>
      <c r="AB15" s="9">
        <f t="shared" si="3"/>
        <v>5.75</v>
      </c>
      <c r="AC15" s="9">
        <f t="shared" si="4"/>
        <v>5.75</v>
      </c>
    </row>
    <row r="16" spans="1:29" x14ac:dyDescent="0.3">
      <c r="A16" s="7" t="s">
        <v>74</v>
      </c>
      <c r="B16" s="7" t="s">
        <v>61</v>
      </c>
      <c r="C16" s="7">
        <v>46</v>
      </c>
      <c r="D16" s="7" t="s">
        <v>57</v>
      </c>
      <c r="E16" s="10">
        <v>5</v>
      </c>
      <c r="F16" s="10">
        <v>7</v>
      </c>
      <c r="G16" s="10">
        <v>6</v>
      </c>
      <c r="H16" s="10">
        <v>6</v>
      </c>
      <c r="I16" s="10">
        <v>7</v>
      </c>
      <c r="J16" s="10">
        <v>7</v>
      </c>
      <c r="K16" s="10">
        <v>7</v>
      </c>
      <c r="L16" s="8">
        <v>7</v>
      </c>
      <c r="M16" s="8">
        <v>7</v>
      </c>
      <c r="N16" s="8">
        <v>6</v>
      </c>
      <c r="O16" s="8">
        <v>7</v>
      </c>
      <c r="P16" s="8">
        <v>7</v>
      </c>
      <c r="Q16" s="8">
        <v>6</v>
      </c>
      <c r="R16" s="8">
        <v>7</v>
      </c>
      <c r="S16" s="8">
        <v>5</v>
      </c>
      <c r="T16" s="8">
        <v>6</v>
      </c>
      <c r="U16" s="8">
        <v>6</v>
      </c>
      <c r="V16" s="8">
        <v>5</v>
      </c>
      <c r="W16" s="8">
        <v>7</v>
      </c>
      <c r="X16" s="8">
        <v>4</v>
      </c>
      <c r="Y16" s="9">
        <f t="shared" si="0"/>
        <v>6</v>
      </c>
      <c r="Z16" s="9">
        <f t="shared" si="1"/>
        <v>7</v>
      </c>
      <c r="AA16" s="9">
        <f t="shared" si="2"/>
        <v>6.75</v>
      </c>
      <c r="AB16" s="9">
        <f t="shared" si="3"/>
        <v>6</v>
      </c>
      <c r="AC16" s="9">
        <f t="shared" si="4"/>
        <v>5.5</v>
      </c>
    </row>
    <row r="17" spans="1:29" x14ac:dyDescent="0.3">
      <c r="A17" s="7" t="s">
        <v>75</v>
      </c>
      <c r="B17" s="7" t="s">
        <v>61</v>
      </c>
      <c r="C17" s="7">
        <v>30</v>
      </c>
      <c r="D17" s="7" t="s">
        <v>57</v>
      </c>
      <c r="E17" s="10">
        <v>7</v>
      </c>
      <c r="F17" s="10">
        <v>6</v>
      </c>
      <c r="G17" s="10">
        <v>6</v>
      </c>
      <c r="H17" s="10">
        <v>5</v>
      </c>
      <c r="I17" s="10">
        <v>7</v>
      </c>
      <c r="J17" s="10">
        <v>7</v>
      </c>
      <c r="K17" s="10">
        <v>7</v>
      </c>
      <c r="L17" s="8">
        <v>7</v>
      </c>
      <c r="M17" s="8">
        <v>7</v>
      </c>
      <c r="N17" s="8">
        <v>6</v>
      </c>
      <c r="O17" s="8">
        <v>7</v>
      </c>
      <c r="P17" s="8">
        <v>7</v>
      </c>
      <c r="Q17" s="8">
        <v>6</v>
      </c>
      <c r="R17" s="8">
        <v>6</v>
      </c>
      <c r="S17" s="8">
        <v>6</v>
      </c>
      <c r="T17" s="8">
        <v>7</v>
      </c>
      <c r="U17" s="8">
        <v>6</v>
      </c>
      <c r="V17" s="8">
        <v>7</v>
      </c>
      <c r="W17" s="8">
        <v>5</v>
      </c>
      <c r="X17" s="8">
        <v>6</v>
      </c>
      <c r="Y17" s="9">
        <f t="shared" si="0"/>
        <v>6</v>
      </c>
      <c r="Z17" s="9">
        <f t="shared" si="1"/>
        <v>7</v>
      </c>
      <c r="AA17" s="9">
        <f t="shared" si="2"/>
        <v>6.75</v>
      </c>
      <c r="AB17" s="9">
        <f t="shared" si="3"/>
        <v>6.25</v>
      </c>
      <c r="AC17" s="9">
        <f t="shared" si="4"/>
        <v>6</v>
      </c>
    </row>
    <row r="18" spans="1:29" x14ac:dyDescent="0.3">
      <c r="A18" s="7" t="s">
        <v>76</v>
      </c>
      <c r="B18" s="7" t="s">
        <v>61</v>
      </c>
      <c r="C18" s="7">
        <v>43</v>
      </c>
      <c r="D18" s="7" t="s">
        <v>59</v>
      </c>
      <c r="E18" s="10">
        <v>6</v>
      </c>
      <c r="F18" s="10">
        <v>5</v>
      </c>
      <c r="G18" s="10">
        <v>7</v>
      </c>
      <c r="H18" s="10">
        <v>6</v>
      </c>
      <c r="I18" s="10">
        <v>6</v>
      </c>
      <c r="J18" s="10">
        <v>7</v>
      </c>
      <c r="K18" s="10">
        <v>7</v>
      </c>
      <c r="L18" s="8">
        <v>6</v>
      </c>
      <c r="M18" s="8">
        <v>7</v>
      </c>
      <c r="N18" s="8">
        <v>6</v>
      </c>
      <c r="O18" s="8">
        <v>7</v>
      </c>
      <c r="P18" s="8">
        <v>6</v>
      </c>
      <c r="Q18" s="8">
        <v>6</v>
      </c>
      <c r="R18" s="8">
        <v>6</v>
      </c>
      <c r="S18" s="8">
        <v>7</v>
      </c>
      <c r="T18" s="8">
        <v>6</v>
      </c>
      <c r="U18" s="8">
        <v>6</v>
      </c>
      <c r="V18" s="8">
        <v>7</v>
      </c>
      <c r="W18" s="8">
        <v>6</v>
      </c>
      <c r="X18" s="8">
        <v>6</v>
      </c>
      <c r="Y18" s="9">
        <f t="shared" si="0"/>
        <v>6</v>
      </c>
      <c r="Z18" s="9">
        <f t="shared" si="1"/>
        <v>6.5</v>
      </c>
      <c r="AA18" s="9">
        <f t="shared" si="2"/>
        <v>6.5</v>
      </c>
      <c r="AB18" s="9">
        <f t="shared" si="3"/>
        <v>6.25</v>
      </c>
      <c r="AC18" s="9">
        <f t="shared" si="4"/>
        <v>6.25</v>
      </c>
    </row>
    <row r="19" spans="1:29" x14ac:dyDescent="0.3">
      <c r="A19" s="7" t="s">
        <v>77</v>
      </c>
      <c r="B19" s="7" t="s">
        <v>61</v>
      </c>
      <c r="C19" s="7">
        <v>43</v>
      </c>
      <c r="D19" s="7" t="s">
        <v>59</v>
      </c>
      <c r="E19" s="10">
        <v>7</v>
      </c>
      <c r="F19" s="10">
        <v>7</v>
      </c>
      <c r="G19" s="10">
        <v>6</v>
      </c>
      <c r="H19" s="10">
        <v>7</v>
      </c>
      <c r="I19" s="10">
        <v>6</v>
      </c>
      <c r="J19" s="10">
        <v>5</v>
      </c>
      <c r="K19" s="10">
        <v>5</v>
      </c>
      <c r="L19" s="8">
        <v>6</v>
      </c>
      <c r="M19" s="8">
        <v>7</v>
      </c>
      <c r="N19" s="8">
        <v>6</v>
      </c>
      <c r="O19" s="8">
        <v>6</v>
      </c>
      <c r="P19" s="8">
        <v>7</v>
      </c>
      <c r="Q19" s="8">
        <v>6</v>
      </c>
      <c r="R19" s="8">
        <v>6</v>
      </c>
      <c r="S19" s="8">
        <v>6</v>
      </c>
      <c r="T19" s="8">
        <v>7</v>
      </c>
      <c r="U19" s="8">
        <v>6</v>
      </c>
      <c r="V19" s="8">
        <v>7</v>
      </c>
      <c r="W19" s="8">
        <v>6</v>
      </c>
      <c r="X19" s="8">
        <v>6</v>
      </c>
      <c r="Y19" s="9">
        <f t="shared" si="0"/>
        <v>6.75</v>
      </c>
      <c r="Z19" s="9">
        <f t="shared" si="1"/>
        <v>5.5</v>
      </c>
      <c r="AA19" s="9">
        <f t="shared" si="2"/>
        <v>6.5</v>
      </c>
      <c r="AB19" s="9">
        <f t="shared" si="3"/>
        <v>6.25</v>
      </c>
      <c r="AC19" s="9">
        <f t="shared" si="4"/>
        <v>6.25</v>
      </c>
    </row>
    <row r="20" spans="1:29" x14ac:dyDescent="0.3">
      <c r="A20" s="7" t="s">
        <v>78</v>
      </c>
      <c r="B20" s="7" t="s">
        <v>61</v>
      </c>
      <c r="C20" s="7">
        <v>35</v>
      </c>
      <c r="D20" s="7" t="s">
        <v>57</v>
      </c>
      <c r="E20" s="10">
        <v>6</v>
      </c>
      <c r="F20" s="10">
        <v>4</v>
      </c>
      <c r="G20" s="10">
        <v>6</v>
      </c>
      <c r="H20" s="10">
        <v>6</v>
      </c>
      <c r="I20" s="10">
        <v>5</v>
      </c>
      <c r="J20" s="10">
        <v>6</v>
      </c>
      <c r="K20" s="10">
        <v>7</v>
      </c>
      <c r="L20" s="8">
        <v>6</v>
      </c>
      <c r="M20" s="8">
        <v>5</v>
      </c>
      <c r="N20" s="8">
        <v>6</v>
      </c>
      <c r="O20" s="8">
        <v>5</v>
      </c>
      <c r="P20" s="8">
        <v>5</v>
      </c>
      <c r="Q20" s="8">
        <v>6</v>
      </c>
      <c r="R20" s="8">
        <v>6</v>
      </c>
      <c r="S20" s="8">
        <v>6</v>
      </c>
      <c r="T20" s="8">
        <v>6</v>
      </c>
      <c r="U20" s="8">
        <v>4</v>
      </c>
      <c r="V20" s="8">
        <v>6</v>
      </c>
      <c r="W20" s="8">
        <v>6</v>
      </c>
      <c r="X20" s="8">
        <v>5</v>
      </c>
      <c r="Y20" s="9">
        <f t="shared" si="0"/>
        <v>5.5</v>
      </c>
      <c r="Z20" s="9">
        <f t="shared" si="1"/>
        <v>6</v>
      </c>
      <c r="AA20" s="9">
        <f t="shared" si="2"/>
        <v>5.25</v>
      </c>
      <c r="AB20" s="9">
        <f t="shared" si="3"/>
        <v>6</v>
      </c>
      <c r="AC20" s="9">
        <f t="shared" si="4"/>
        <v>5.25</v>
      </c>
    </row>
    <row r="21" spans="1:29" x14ac:dyDescent="0.3">
      <c r="A21" s="7" t="s">
        <v>79</v>
      </c>
      <c r="B21" s="7" t="s">
        <v>56</v>
      </c>
      <c r="C21" s="7">
        <v>23</v>
      </c>
      <c r="D21" s="7" t="s">
        <v>59</v>
      </c>
      <c r="E21" s="10">
        <v>6</v>
      </c>
      <c r="F21" s="10">
        <v>6</v>
      </c>
      <c r="G21" s="10">
        <v>7</v>
      </c>
      <c r="H21" s="10">
        <v>6</v>
      </c>
      <c r="I21" s="10">
        <v>5</v>
      </c>
      <c r="J21" s="10">
        <v>6</v>
      </c>
      <c r="K21" s="10">
        <v>6</v>
      </c>
      <c r="L21" s="8">
        <v>6</v>
      </c>
      <c r="M21" s="8">
        <v>7</v>
      </c>
      <c r="N21" s="8">
        <v>6</v>
      </c>
      <c r="O21" s="8">
        <v>6</v>
      </c>
      <c r="P21" s="8">
        <v>5</v>
      </c>
      <c r="Q21" s="8">
        <v>6</v>
      </c>
      <c r="R21" s="8">
        <v>6</v>
      </c>
      <c r="S21" s="8">
        <v>7</v>
      </c>
      <c r="T21" s="8">
        <v>5</v>
      </c>
      <c r="U21" s="8">
        <v>6</v>
      </c>
      <c r="V21" s="8">
        <v>6</v>
      </c>
      <c r="W21" s="8">
        <v>7</v>
      </c>
      <c r="X21" s="8">
        <v>7</v>
      </c>
      <c r="Y21" s="9">
        <f t="shared" si="0"/>
        <v>6.25</v>
      </c>
      <c r="Z21" s="9">
        <f t="shared" si="1"/>
        <v>5.75</v>
      </c>
      <c r="AA21" s="9">
        <f t="shared" si="2"/>
        <v>6</v>
      </c>
      <c r="AB21" s="9">
        <f t="shared" si="3"/>
        <v>6</v>
      </c>
      <c r="AC21" s="9">
        <f t="shared" si="4"/>
        <v>6.5</v>
      </c>
    </row>
    <row r="22" spans="1:29" x14ac:dyDescent="0.3">
      <c r="A22" s="7" t="s">
        <v>80</v>
      </c>
      <c r="B22" s="7" t="s">
        <v>61</v>
      </c>
      <c r="C22" s="7">
        <v>41</v>
      </c>
      <c r="D22" s="7" t="s">
        <v>63</v>
      </c>
      <c r="E22" s="10">
        <v>6</v>
      </c>
      <c r="F22" s="10">
        <v>7</v>
      </c>
      <c r="G22" s="10">
        <v>7</v>
      </c>
      <c r="H22" s="10">
        <v>7</v>
      </c>
      <c r="I22" s="10">
        <v>6</v>
      </c>
      <c r="J22" s="10">
        <v>6</v>
      </c>
      <c r="K22" s="10">
        <v>6</v>
      </c>
      <c r="L22" s="8">
        <v>6</v>
      </c>
      <c r="M22" s="8">
        <v>6</v>
      </c>
      <c r="N22" s="8">
        <v>6</v>
      </c>
      <c r="O22" s="8">
        <v>6</v>
      </c>
      <c r="P22" s="8">
        <v>6</v>
      </c>
      <c r="Q22" s="8">
        <v>6</v>
      </c>
      <c r="R22" s="8">
        <v>6</v>
      </c>
      <c r="S22" s="8">
        <v>6</v>
      </c>
      <c r="T22" s="8">
        <v>6</v>
      </c>
      <c r="U22" s="8">
        <v>7</v>
      </c>
      <c r="V22" s="8">
        <v>6</v>
      </c>
      <c r="W22" s="8">
        <v>5</v>
      </c>
      <c r="X22" s="8">
        <v>6</v>
      </c>
      <c r="Y22" s="9">
        <f t="shared" si="0"/>
        <v>6.75</v>
      </c>
      <c r="Z22" s="9">
        <f t="shared" si="1"/>
        <v>6</v>
      </c>
      <c r="AA22" s="9">
        <f t="shared" si="2"/>
        <v>6</v>
      </c>
      <c r="AB22" s="9">
        <f t="shared" si="3"/>
        <v>6</v>
      </c>
      <c r="AC22" s="9">
        <f t="shared" si="4"/>
        <v>6</v>
      </c>
    </row>
    <row r="23" spans="1:29" x14ac:dyDescent="0.3">
      <c r="A23" s="7" t="s">
        <v>81</v>
      </c>
      <c r="B23" s="7" t="s">
        <v>56</v>
      </c>
      <c r="C23" s="7">
        <v>20</v>
      </c>
      <c r="D23" s="7" t="s">
        <v>63</v>
      </c>
      <c r="E23" s="10">
        <v>6</v>
      </c>
      <c r="F23" s="10">
        <v>6</v>
      </c>
      <c r="G23" s="10">
        <v>6</v>
      </c>
      <c r="H23" s="10">
        <v>5</v>
      </c>
      <c r="I23" s="10">
        <v>7</v>
      </c>
      <c r="J23" s="10">
        <v>6</v>
      </c>
      <c r="K23" s="10">
        <v>6</v>
      </c>
      <c r="L23" s="8">
        <v>7</v>
      </c>
      <c r="M23" s="8">
        <v>6</v>
      </c>
      <c r="N23" s="8">
        <v>7</v>
      </c>
      <c r="O23" s="8">
        <v>6</v>
      </c>
      <c r="P23" s="8">
        <v>6</v>
      </c>
      <c r="Q23" s="8">
        <v>7</v>
      </c>
      <c r="R23" s="8">
        <v>7</v>
      </c>
      <c r="S23" s="8">
        <v>6</v>
      </c>
      <c r="T23" s="8">
        <v>6</v>
      </c>
      <c r="U23" s="8">
        <v>5</v>
      </c>
      <c r="V23" s="8">
        <v>5</v>
      </c>
      <c r="W23" s="8">
        <v>5</v>
      </c>
      <c r="X23" s="8">
        <v>5</v>
      </c>
      <c r="Y23" s="9">
        <f t="shared" si="0"/>
        <v>5.75</v>
      </c>
      <c r="Z23" s="9">
        <f t="shared" si="1"/>
        <v>6.5</v>
      </c>
      <c r="AA23" s="9">
        <f t="shared" si="2"/>
        <v>6.25</v>
      </c>
      <c r="AB23" s="9">
        <f t="shared" si="3"/>
        <v>6.5</v>
      </c>
      <c r="AC23" s="9">
        <f t="shared" si="4"/>
        <v>5</v>
      </c>
    </row>
    <row r="24" spans="1:29" x14ac:dyDescent="0.3">
      <c r="A24" s="7" t="s">
        <v>82</v>
      </c>
      <c r="B24" s="7" t="s">
        <v>56</v>
      </c>
      <c r="C24" s="7">
        <v>50</v>
      </c>
      <c r="D24" s="7" t="s">
        <v>57</v>
      </c>
      <c r="E24" s="10">
        <v>5</v>
      </c>
      <c r="F24" s="10">
        <v>6</v>
      </c>
      <c r="G24" s="10">
        <v>4</v>
      </c>
      <c r="H24" s="10">
        <v>5</v>
      </c>
      <c r="I24" s="10">
        <v>4</v>
      </c>
      <c r="J24" s="10">
        <v>6</v>
      </c>
      <c r="K24" s="10">
        <v>6</v>
      </c>
      <c r="L24" s="8">
        <v>6</v>
      </c>
      <c r="M24" s="8">
        <v>7</v>
      </c>
      <c r="N24" s="8">
        <v>6</v>
      </c>
      <c r="O24" s="8">
        <v>7</v>
      </c>
      <c r="P24" s="8">
        <v>7</v>
      </c>
      <c r="Q24" s="8">
        <v>7</v>
      </c>
      <c r="R24" s="8">
        <v>6</v>
      </c>
      <c r="S24" s="8">
        <v>5</v>
      </c>
      <c r="T24" s="8">
        <v>6</v>
      </c>
      <c r="U24" s="8">
        <v>7</v>
      </c>
      <c r="V24" s="8">
        <v>6</v>
      </c>
      <c r="W24" s="8">
        <v>7</v>
      </c>
      <c r="X24" s="8">
        <v>7</v>
      </c>
      <c r="Y24" s="9">
        <f t="shared" si="0"/>
        <v>5</v>
      </c>
      <c r="Z24" s="9">
        <f t="shared" si="1"/>
        <v>5.5</v>
      </c>
      <c r="AA24" s="9">
        <f t="shared" si="2"/>
        <v>6.75</v>
      </c>
      <c r="AB24" s="9">
        <f t="shared" si="3"/>
        <v>6</v>
      </c>
      <c r="AC24" s="9">
        <f t="shared" si="4"/>
        <v>6.75</v>
      </c>
    </row>
    <row r="25" spans="1:29" x14ac:dyDescent="0.3">
      <c r="A25" s="7" t="s">
        <v>83</v>
      </c>
      <c r="B25" s="7" t="s">
        <v>61</v>
      </c>
      <c r="C25" s="7">
        <v>49</v>
      </c>
      <c r="D25" s="7" t="s">
        <v>63</v>
      </c>
      <c r="E25" s="10">
        <v>6</v>
      </c>
      <c r="F25" s="10">
        <v>6</v>
      </c>
      <c r="G25" s="10">
        <v>6</v>
      </c>
      <c r="H25" s="10">
        <v>7</v>
      </c>
      <c r="I25" s="10">
        <v>7</v>
      </c>
      <c r="J25" s="10">
        <v>7</v>
      </c>
      <c r="K25" s="10">
        <v>7</v>
      </c>
      <c r="L25" s="8">
        <v>7</v>
      </c>
      <c r="M25" s="8">
        <v>6</v>
      </c>
      <c r="N25" s="8">
        <v>6</v>
      </c>
      <c r="O25" s="8">
        <v>6</v>
      </c>
      <c r="P25" s="8">
        <v>6</v>
      </c>
      <c r="Q25" s="8">
        <v>6</v>
      </c>
      <c r="R25" s="8">
        <v>5</v>
      </c>
      <c r="S25" s="8">
        <v>6</v>
      </c>
      <c r="T25" s="8">
        <v>7</v>
      </c>
      <c r="U25" s="8">
        <v>5</v>
      </c>
      <c r="V25" s="8">
        <v>5</v>
      </c>
      <c r="W25" s="8">
        <v>5</v>
      </c>
      <c r="X25" s="8">
        <v>5</v>
      </c>
      <c r="Y25" s="9">
        <f t="shared" si="0"/>
        <v>6.25</v>
      </c>
      <c r="Z25" s="9">
        <f t="shared" si="1"/>
        <v>7</v>
      </c>
      <c r="AA25" s="9">
        <f t="shared" si="2"/>
        <v>6</v>
      </c>
      <c r="AB25" s="9">
        <f t="shared" si="3"/>
        <v>6</v>
      </c>
      <c r="AC25" s="9">
        <f t="shared" si="4"/>
        <v>5</v>
      </c>
    </row>
    <row r="26" spans="1:29" x14ac:dyDescent="0.3">
      <c r="A26" s="7" t="s">
        <v>84</v>
      </c>
      <c r="B26" s="7" t="s">
        <v>61</v>
      </c>
      <c r="C26" s="7">
        <v>49</v>
      </c>
      <c r="D26" s="7" t="s">
        <v>63</v>
      </c>
      <c r="E26" s="10">
        <v>5</v>
      </c>
      <c r="F26" s="10">
        <v>5</v>
      </c>
      <c r="G26" s="10">
        <v>5</v>
      </c>
      <c r="H26" s="10">
        <v>6</v>
      </c>
      <c r="I26" s="10">
        <v>7</v>
      </c>
      <c r="J26" s="10">
        <v>7</v>
      </c>
      <c r="K26" s="10">
        <v>7</v>
      </c>
      <c r="L26" s="8">
        <v>7</v>
      </c>
      <c r="M26" s="8">
        <v>7</v>
      </c>
      <c r="N26" s="8">
        <v>6</v>
      </c>
      <c r="O26" s="8">
        <v>6</v>
      </c>
      <c r="P26" s="8">
        <v>6</v>
      </c>
      <c r="Q26" s="8">
        <v>6</v>
      </c>
      <c r="R26" s="8">
        <v>7</v>
      </c>
      <c r="S26" s="8">
        <v>5</v>
      </c>
      <c r="T26" s="8">
        <v>6</v>
      </c>
      <c r="U26" s="8">
        <v>7</v>
      </c>
      <c r="V26" s="8">
        <v>6</v>
      </c>
      <c r="W26" s="8">
        <v>5</v>
      </c>
      <c r="X26" s="8">
        <v>6</v>
      </c>
      <c r="Y26" s="9">
        <f t="shared" si="0"/>
        <v>5.25</v>
      </c>
      <c r="Z26" s="9">
        <f t="shared" si="1"/>
        <v>7</v>
      </c>
      <c r="AA26" s="9">
        <f t="shared" si="2"/>
        <v>6.25</v>
      </c>
      <c r="AB26" s="9">
        <f t="shared" si="3"/>
        <v>6</v>
      </c>
      <c r="AC26" s="9">
        <f t="shared" si="4"/>
        <v>6</v>
      </c>
    </row>
    <row r="27" spans="1:29" x14ac:dyDescent="0.3">
      <c r="A27" s="7" t="s">
        <v>85</v>
      </c>
      <c r="B27" s="7" t="s">
        <v>61</v>
      </c>
      <c r="C27" s="7">
        <v>19</v>
      </c>
      <c r="D27" s="7" t="s">
        <v>57</v>
      </c>
      <c r="E27" s="10">
        <v>6</v>
      </c>
      <c r="F27" s="10">
        <v>6</v>
      </c>
      <c r="G27" s="10">
        <v>6</v>
      </c>
      <c r="H27" s="10">
        <v>6</v>
      </c>
      <c r="I27" s="10">
        <v>6</v>
      </c>
      <c r="J27" s="10">
        <v>6</v>
      </c>
      <c r="K27" s="10">
        <v>5</v>
      </c>
      <c r="L27" s="8">
        <v>6</v>
      </c>
      <c r="M27" s="8">
        <v>7</v>
      </c>
      <c r="N27" s="8">
        <v>7</v>
      </c>
      <c r="O27" s="8">
        <v>7</v>
      </c>
      <c r="P27" s="8">
        <v>7</v>
      </c>
      <c r="Q27" s="8">
        <v>7</v>
      </c>
      <c r="R27" s="8">
        <v>6</v>
      </c>
      <c r="S27" s="8">
        <v>6</v>
      </c>
      <c r="T27" s="8">
        <v>7</v>
      </c>
      <c r="U27" s="8">
        <v>6</v>
      </c>
      <c r="V27" s="8">
        <v>6</v>
      </c>
      <c r="W27" s="8">
        <v>5</v>
      </c>
      <c r="X27" s="8">
        <v>5</v>
      </c>
      <c r="Y27" s="9">
        <f t="shared" si="0"/>
        <v>6</v>
      </c>
      <c r="Z27" s="9">
        <f t="shared" si="1"/>
        <v>5.75</v>
      </c>
      <c r="AA27" s="9">
        <f t="shared" si="2"/>
        <v>7</v>
      </c>
      <c r="AB27" s="9">
        <f t="shared" si="3"/>
        <v>6.5</v>
      </c>
      <c r="AC27" s="9">
        <f t="shared" si="4"/>
        <v>5.5</v>
      </c>
    </row>
    <row r="28" spans="1:29" x14ac:dyDescent="0.3">
      <c r="A28" s="7" t="s">
        <v>86</v>
      </c>
      <c r="B28" s="7" t="s">
        <v>61</v>
      </c>
      <c r="C28" s="7">
        <v>53</v>
      </c>
      <c r="D28" s="7" t="s">
        <v>57</v>
      </c>
      <c r="E28" s="10">
        <v>7</v>
      </c>
      <c r="F28" s="10">
        <v>7</v>
      </c>
      <c r="G28" s="10">
        <v>7</v>
      </c>
      <c r="H28" s="10">
        <v>7</v>
      </c>
      <c r="I28" s="10">
        <v>7</v>
      </c>
      <c r="J28" s="10">
        <v>7</v>
      </c>
      <c r="K28" s="10">
        <v>7</v>
      </c>
      <c r="L28" s="8">
        <v>6</v>
      </c>
      <c r="M28" s="8">
        <v>7</v>
      </c>
      <c r="N28" s="8">
        <v>7</v>
      </c>
      <c r="O28" s="8">
        <v>7</v>
      </c>
      <c r="P28" s="8">
        <v>6</v>
      </c>
      <c r="Q28" s="8">
        <v>6</v>
      </c>
      <c r="R28" s="8">
        <v>7</v>
      </c>
      <c r="S28" s="8">
        <v>6</v>
      </c>
      <c r="T28" s="8">
        <v>7</v>
      </c>
      <c r="U28" s="8">
        <v>5</v>
      </c>
      <c r="V28" s="8">
        <v>6</v>
      </c>
      <c r="W28" s="8">
        <v>5</v>
      </c>
      <c r="X28" s="8">
        <v>5</v>
      </c>
      <c r="Y28" s="9">
        <f t="shared" si="0"/>
        <v>7</v>
      </c>
      <c r="Z28" s="9">
        <f t="shared" si="1"/>
        <v>6.75</v>
      </c>
      <c r="AA28" s="9">
        <f t="shared" si="2"/>
        <v>6.75</v>
      </c>
      <c r="AB28" s="9">
        <f t="shared" si="3"/>
        <v>6.5</v>
      </c>
      <c r="AC28" s="9">
        <f t="shared" si="4"/>
        <v>5.25</v>
      </c>
    </row>
    <row r="29" spans="1:29" x14ac:dyDescent="0.3">
      <c r="A29" s="7" t="s">
        <v>87</v>
      </c>
      <c r="B29" s="7" t="s">
        <v>56</v>
      </c>
      <c r="C29" s="7">
        <v>54</v>
      </c>
      <c r="D29" s="7" t="s">
        <v>59</v>
      </c>
      <c r="E29" s="10">
        <v>5</v>
      </c>
      <c r="F29" s="10">
        <v>6</v>
      </c>
      <c r="G29" s="10">
        <v>5</v>
      </c>
      <c r="H29" s="10">
        <v>5</v>
      </c>
      <c r="I29" s="10">
        <v>6</v>
      </c>
      <c r="J29" s="10">
        <v>7</v>
      </c>
      <c r="K29" s="10">
        <v>6</v>
      </c>
      <c r="L29" s="8">
        <v>6</v>
      </c>
      <c r="M29" s="8">
        <v>6</v>
      </c>
      <c r="N29" s="8">
        <v>7</v>
      </c>
      <c r="O29" s="8">
        <v>6</v>
      </c>
      <c r="P29" s="8">
        <v>6</v>
      </c>
      <c r="Q29" s="8">
        <v>5</v>
      </c>
      <c r="R29" s="8">
        <v>6</v>
      </c>
      <c r="S29" s="8">
        <v>6</v>
      </c>
      <c r="T29" s="8">
        <v>6</v>
      </c>
      <c r="U29" s="8">
        <v>6</v>
      </c>
      <c r="V29" s="8">
        <v>6</v>
      </c>
      <c r="W29" s="8">
        <v>6</v>
      </c>
      <c r="X29" s="8">
        <v>5</v>
      </c>
      <c r="Y29" s="9">
        <f t="shared" si="0"/>
        <v>5.25</v>
      </c>
      <c r="Z29" s="9">
        <f t="shared" si="1"/>
        <v>6.25</v>
      </c>
      <c r="AA29" s="9">
        <f t="shared" si="2"/>
        <v>6.25</v>
      </c>
      <c r="AB29" s="9">
        <f t="shared" si="3"/>
        <v>5.75</v>
      </c>
      <c r="AC29" s="9">
        <f t="shared" si="4"/>
        <v>5.75</v>
      </c>
    </row>
    <row r="30" spans="1:29" x14ac:dyDescent="0.3">
      <c r="A30" s="7" t="s">
        <v>88</v>
      </c>
      <c r="B30" s="7" t="s">
        <v>61</v>
      </c>
      <c r="C30" s="7">
        <v>40</v>
      </c>
      <c r="D30" s="7" t="s">
        <v>57</v>
      </c>
      <c r="E30" s="10">
        <v>6</v>
      </c>
      <c r="F30" s="10">
        <v>5</v>
      </c>
      <c r="G30" s="10">
        <v>5</v>
      </c>
      <c r="H30" s="10">
        <v>6</v>
      </c>
      <c r="I30" s="10">
        <v>6</v>
      </c>
      <c r="J30" s="10">
        <v>7</v>
      </c>
      <c r="K30" s="10">
        <v>6</v>
      </c>
      <c r="L30" s="8">
        <v>7</v>
      </c>
      <c r="M30" s="8">
        <v>7</v>
      </c>
      <c r="N30" s="8">
        <v>7</v>
      </c>
      <c r="O30" s="8">
        <v>6</v>
      </c>
      <c r="P30" s="8">
        <v>6</v>
      </c>
      <c r="Q30" s="8">
        <v>6</v>
      </c>
      <c r="R30" s="8">
        <v>7</v>
      </c>
      <c r="S30" s="8">
        <v>6</v>
      </c>
      <c r="T30" s="8">
        <v>7</v>
      </c>
      <c r="U30" s="8">
        <v>7</v>
      </c>
      <c r="V30" s="8">
        <v>5</v>
      </c>
      <c r="W30" s="8">
        <v>6</v>
      </c>
      <c r="X30" s="8">
        <v>7</v>
      </c>
      <c r="Y30" s="9">
        <f t="shared" si="0"/>
        <v>5.5</v>
      </c>
      <c r="Z30" s="9">
        <f t="shared" si="1"/>
        <v>6.5</v>
      </c>
      <c r="AA30" s="9">
        <f t="shared" si="2"/>
        <v>6.5</v>
      </c>
      <c r="AB30" s="9">
        <f t="shared" si="3"/>
        <v>6.5</v>
      </c>
      <c r="AC30" s="9">
        <f t="shared" si="4"/>
        <v>6.25</v>
      </c>
    </row>
    <row r="31" spans="1:29" x14ac:dyDescent="0.3">
      <c r="A31" s="7" t="s">
        <v>89</v>
      </c>
      <c r="B31" s="7" t="s">
        <v>56</v>
      </c>
      <c r="C31" s="7">
        <v>48</v>
      </c>
      <c r="D31" s="7" t="s">
        <v>57</v>
      </c>
      <c r="E31" s="10">
        <v>5</v>
      </c>
      <c r="F31" s="10">
        <v>6</v>
      </c>
      <c r="G31" s="10">
        <v>5</v>
      </c>
      <c r="H31" s="10">
        <v>5</v>
      </c>
      <c r="I31" s="10">
        <v>6</v>
      </c>
      <c r="J31" s="10">
        <v>7</v>
      </c>
      <c r="K31" s="10">
        <v>7</v>
      </c>
      <c r="L31" s="8">
        <v>7</v>
      </c>
      <c r="M31" s="8">
        <v>5</v>
      </c>
      <c r="N31" s="8">
        <v>6</v>
      </c>
      <c r="O31" s="8">
        <v>7</v>
      </c>
      <c r="P31" s="8">
        <v>6</v>
      </c>
      <c r="Q31" s="8">
        <v>6</v>
      </c>
      <c r="R31" s="8">
        <v>7</v>
      </c>
      <c r="S31" s="8">
        <v>6</v>
      </c>
      <c r="T31" s="8">
        <v>6</v>
      </c>
      <c r="U31" s="8">
        <v>6</v>
      </c>
      <c r="V31" s="8">
        <v>6</v>
      </c>
      <c r="W31" s="8">
        <v>6</v>
      </c>
      <c r="X31" s="8">
        <v>6</v>
      </c>
      <c r="Y31" s="9">
        <f t="shared" si="0"/>
        <v>5.25</v>
      </c>
      <c r="Z31" s="9">
        <f t="shared" si="1"/>
        <v>6.75</v>
      </c>
      <c r="AA31" s="9">
        <f t="shared" si="2"/>
        <v>6</v>
      </c>
      <c r="AB31" s="9">
        <f t="shared" si="3"/>
        <v>6.25</v>
      </c>
      <c r="AC31" s="9">
        <f t="shared" si="4"/>
        <v>6</v>
      </c>
    </row>
  </sheetData>
  <dataValidations count="1">
    <dataValidation type="whole" showErrorMessage="1" errorTitle="Invalid score" error="Enter an integer from 1 to 7." sqref="E2:X31" xr:uid="{00000000-0002-0000-0200-000000000000}">
      <formula1>1</formula1>
      <formula2>7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1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5" sqref="J15"/>
    </sheetView>
  </sheetViews>
  <sheetFormatPr defaultColWidth="8.6640625" defaultRowHeight="14.4" x14ac:dyDescent="0.3"/>
  <cols>
    <col min="1" max="1" width="12" style="2" customWidth="1"/>
    <col min="2" max="3" width="14" style="2" customWidth="1"/>
    <col min="4" max="4" width="19.21875" style="2" bestFit="1" customWidth="1"/>
    <col min="5" max="24" width="6" style="2" customWidth="1"/>
    <col min="25" max="29" width="12" style="2" customWidth="1"/>
    <col min="30" max="16384" width="8.6640625" style="2"/>
  </cols>
  <sheetData>
    <row r="1" spans="1:29" ht="27.75" customHeight="1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3</v>
      </c>
      <c r="F1" s="6" t="s">
        <v>5</v>
      </c>
      <c r="G1" s="6" t="s">
        <v>7</v>
      </c>
      <c r="H1" s="6" t="s">
        <v>9</v>
      </c>
      <c r="I1" s="6" t="s">
        <v>12</v>
      </c>
      <c r="J1" s="6" t="s">
        <v>14</v>
      </c>
      <c r="K1" s="6" t="s">
        <v>16</v>
      </c>
      <c r="L1" s="6" t="s">
        <v>18</v>
      </c>
      <c r="M1" s="6" t="s">
        <v>21</v>
      </c>
      <c r="N1" s="6" t="s">
        <v>23</v>
      </c>
      <c r="O1" s="6" t="s">
        <v>25</v>
      </c>
      <c r="P1" s="6" t="s">
        <v>27</v>
      </c>
      <c r="Q1" s="6" t="s">
        <v>30</v>
      </c>
      <c r="R1" s="6" t="s">
        <v>32</v>
      </c>
      <c r="S1" s="6" t="s">
        <v>34</v>
      </c>
      <c r="T1" s="6" t="s">
        <v>36</v>
      </c>
      <c r="U1" s="6" t="s">
        <v>39</v>
      </c>
      <c r="V1" s="6" t="s">
        <v>41</v>
      </c>
      <c r="W1" s="6" t="s">
        <v>43</v>
      </c>
      <c r="X1" s="6" t="s">
        <v>45</v>
      </c>
      <c r="Y1" s="6" t="s">
        <v>50</v>
      </c>
      <c r="Z1" s="6" t="s">
        <v>51</v>
      </c>
      <c r="AA1" s="6" t="s">
        <v>52</v>
      </c>
      <c r="AB1" s="6" t="s">
        <v>53</v>
      </c>
      <c r="AC1" s="6" t="s">
        <v>54</v>
      </c>
    </row>
    <row r="2" spans="1:29" x14ac:dyDescent="0.3">
      <c r="A2" s="7" t="s">
        <v>55</v>
      </c>
      <c r="B2" s="7" t="s">
        <v>56</v>
      </c>
      <c r="C2" s="7">
        <v>35</v>
      </c>
      <c r="D2" s="7" t="s">
        <v>57</v>
      </c>
      <c r="E2" s="8">
        <v>7</v>
      </c>
      <c r="F2" s="8">
        <v>7</v>
      </c>
      <c r="G2" s="8">
        <v>7</v>
      </c>
      <c r="H2" s="8">
        <v>7</v>
      </c>
      <c r="I2" s="8">
        <v>6</v>
      </c>
      <c r="J2" s="8">
        <v>5</v>
      </c>
      <c r="K2" s="8">
        <v>5</v>
      </c>
      <c r="L2" s="8">
        <v>5</v>
      </c>
      <c r="M2" s="8">
        <v>5</v>
      </c>
      <c r="N2" s="8">
        <v>6</v>
      </c>
      <c r="O2" s="8">
        <v>6</v>
      </c>
      <c r="P2" s="8">
        <v>5</v>
      </c>
      <c r="Q2" s="8">
        <v>6</v>
      </c>
      <c r="R2" s="8">
        <v>7</v>
      </c>
      <c r="S2" s="8">
        <v>7</v>
      </c>
      <c r="T2" s="8">
        <v>5</v>
      </c>
      <c r="U2" s="8">
        <v>5</v>
      </c>
      <c r="V2" s="8">
        <v>6</v>
      </c>
      <c r="W2" s="8">
        <v>5</v>
      </c>
      <c r="X2" s="8">
        <v>6</v>
      </c>
      <c r="Y2" s="9">
        <f t="shared" ref="Y2:Y31" si="0">AVERAGE(E2:H2)</f>
        <v>7</v>
      </c>
      <c r="Z2" s="9">
        <f t="shared" ref="Z2:Z31" si="1">AVERAGE(I2:L2)</f>
        <v>5.25</v>
      </c>
      <c r="AA2" s="9">
        <f t="shared" ref="AA2:AA31" si="2">AVERAGE(M2:P2)</f>
        <v>5.5</v>
      </c>
      <c r="AB2" s="9">
        <f t="shared" ref="AB2:AB31" si="3">AVERAGE(Q2:T2)</f>
        <v>6.25</v>
      </c>
      <c r="AC2" s="9">
        <f t="shared" ref="AC2:AC31" si="4">AVERAGE(U2:X2)</f>
        <v>5.5</v>
      </c>
    </row>
    <row r="3" spans="1:29" x14ac:dyDescent="0.3">
      <c r="A3" s="7" t="s">
        <v>58</v>
      </c>
      <c r="B3" s="7" t="s">
        <v>56</v>
      </c>
      <c r="C3" s="7">
        <v>38</v>
      </c>
      <c r="D3" s="7" t="s">
        <v>59</v>
      </c>
      <c r="E3" s="8">
        <v>6</v>
      </c>
      <c r="F3" s="8">
        <v>7</v>
      </c>
      <c r="G3" s="8">
        <v>7</v>
      </c>
      <c r="H3" s="8">
        <v>6</v>
      </c>
      <c r="I3" s="8">
        <v>6</v>
      </c>
      <c r="J3" s="8">
        <v>5</v>
      </c>
      <c r="K3" s="8">
        <v>6</v>
      </c>
      <c r="L3" s="8">
        <v>5</v>
      </c>
      <c r="M3" s="8">
        <v>4</v>
      </c>
      <c r="N3" s="8">
        <v>5</v>
      </c>
      <c r="O3" s="8">
        <v>4</v>
      </c>
      <c r="P3" s="8">
        <v>4</v>
      </c>
      <c r="Q3" s="8">
        <v>5</v>
      </c>
      <c r="R3" s="8">
        <v>5</v>
      </c>
      <c r="S3" s="8">
        <v>5</v>
      </c>
      <c r="T3" s="8">
        <v>4</v>
      </c>
      <c r="U3" s="8">
        <v>5</v>
      </c>
      <c r="V3" s="8">
        <v>6</v>
      </c>
      <c r="W3" s="8">
        <v>6</v>
      </c>
      <c r="X3" s="8">
        <v>6</v>
      </c>
      <c r="Y3" s="9">
        <f t="shared" si="0"/>
        <v>6.5</v>
      </c>
      <c r="Z3" s="9">
        <f t="shared" si="1"/>
        <v>5.5</v>
      </c>
      <c r="AA3" s="9">
        <f t="shared" si="2"/>
        <v>4.25</v>
      </c>
      <c r="AB3" s="9">
        <f t="shared" si="3"/>
        <v>4.75</v>
      </c>
      <c r="AC3" s="9">
        <f t="shared" si="4"/>
        <v>5.75</v>
      </c>
    </row>
    <row r="4" spans="1:29" x14ac:dyDescent="0.3">
      <c r="A4" s="7" t="s">
        <v>60</v>
      </c>
      <c r="B4" s="7" t="s">
        <v>61</v>
      </c>
      <c r="C4" s="7">
        <v>37</v>
      </c>
      <c r="D4" s="7" t="s">
        <v>59</v>
      </c>
      <c r="E4" s="8">
        <v>6</v>
      </c>
      <c r="F4" s="8">
        <v>7</v>
      </c>
      <c r="G4" s="8">
        <v>6</v>
      </c>
      <c r="H4" s="8">
        <v>7</v>
      </c>
      <c r="I4" s="8">
        <v>5</v>
      </c>
      <c r="J4" s="8">
        <v>5</v>
      </c>
      <c r="K4" s="8">
        <v>5</v>
      </c>
      <c r="L4" s="8">
        <v>5</v>
      </c>
      <c r="M4" s="8">
        <v>5</v>
      </c>
      <c r="N4" s="8">
        <v>6</v>
      </c>
      <c r="O4" s="8">
        <v>6</v>
      </c>
      <c r="P4" s="8">
        <v>6</v>
      </c>
      <c r="Q4" s="8">
        <v>6</v>
      </c>
      <c r="R4" s="8">
        <v>5</v>
      </c>
      <c r="S4" s="8">
        <v>5</v>
      </c>
      <c r="T4" s="8">
        <v>5</v>
      </c>
      <c r="U4" s="8">
        <v>5</v>
      </c>
      <c r="V4" s="8">
        <v>4</v>
      </c>
      <c r="W4" s="8">
        <v>4</v>
      </c>
      <c r="X4" s="8">
        <v>5</v>
      </c>
      <c r="Y4" s="9">
        <f t="shared" si="0"/>
        <v>6.5</v>
      </c>
      <c r="Z4" s="9">
        <f t="shared" si="1"/>
        <v>5</v>
      </c>
      <c r="AA4" s="9">
        <f t="shared" si="2"/>
        <v>5.75</v>
      </c>
      <c r="AB4" s="9">
        <f t="shared" si="3"/>
        <v>5.25</v>
      </c>
      <c r="AC4" s="9">
        <f t="shared" si="4"/>
        <v>4.5</v>
      </c>
    </row>
    <row r="5" spans="1:29" x14ac:dyDescent="0.3">
      <c r="A5" s="7" t="s">
        <v>62</v>
      </c>
      <c r="B5" s="7" t="s">
        <v>56</v>
      </c>
      <c r="C5" s="7">
        <v>31</v>
      </c>
      <c r="D5" s="7" t="s">
        <v>63</v>
      </c>
      <c r="E5" s="8">
        <v>6</v>
      </c>
      <c r="F5" s="8">
        <v>5</v>
      </c>
      <c r="G5" s="8">
        <v>7</v>
      </c>
      <c r="H5" s="8">
        <v>6</v>
      </c>
      <c r="I5" s="8">
        <v>6</v>
      </c>
      <c r="J5" s="8">
        <v>5</v>
      </c>
      <c r="K5" s="8">
        <v>6</v>
      </c>
      <c r="L5" s="8">
        <v>6</v>
      </c>
      <c r="M5" s="8">
        <v>6</v>
      </c>
      <c r="N5" s="8">
        <v>6</v>
      </c>
      <c r="O5" s="8">
        <v>5</v>
      </c>
      <c r="P5" s="8">
        <v>5</v>
      </c>
      <c r="Q5" s="8">
        <v>5</v>
      </c>
      <c r="R5" s="8">
        <v>6</v>
      </c>
      <c r="S5" s="8">
        <v>5</v>
      </c>
      <c r="T5" s="8">
        <v>5</v>
      </c>
      <c r="U5" s="8">
        <v>6</v>
      </c>
      <c r="V5" s="8">
        <v>5</v>
      </c>
      <c r="W5" s="8">
        <v>6</v>
      </c>
      <c r="X5" s="8">
        <v>6</v>
      </c>
      <c r="Y5" s="9">
        <f t="shared" si="0"/>
        <v>6</v>
      </c>
      <c r="Z5" s="9">
        <f t="shared" si="1"/>
        <v>5.75</v>
      </c>
      <c r="AA5" s="9">
        <f t="shared" si="2"/>
        <v>5.5</v>
      </c>
      <c r="AB5" s="9">
        <f t="shared" si="3"/>
        <v>5.25</v>
      </c>
      <c r="AC5" s="9">
        <f t="shared" si="4"/>
        <v>5.75</v>
      </c>
    </row>
    <row r="6" spans="1:29" x14ac:dyDescent="0.3">
      <c r="A6" s="7" t="s">
        <v>64</v>
      </c>
      <c r="B6" s="7" t="s">
        <v>61</v>
      </c>
      <c r="C6" s="7">
        <v>53</v>
      </c>
      <c r="D6" s="7" t="s">
        <v>57</v>
      </c>
      <c r="E6" s="8">
        <v>7</v>
      </c>
      <c r="F6" s="8">
        <v>7</v>
      </c>
      <c r="G6" s="8">
        <v>7</v>
      </c>
      <c r="H6" s="8">
        <v>6</v>
      </c>
      <c r="I6" s="8">
        <v>6</v>
      </c>
      <c r="J6" s="8">
        <v>6</v>
      </c>
      <c r="K6" s="8">
        <v>6</v>
      </c>
      <c r="L6" s="8">
        <v>5</v>
      </c>
      <c r="M6" s="8">
        <v>5</v>
      </c>
      <c r="N6" s="8">
        <v>4</v>
      </c>
      <c r="O6" s="8">
        <v>4</v>
      </c>
      <c r="P6" s="8">
        <v>5</v>
      </c>
      <c r="Q6" s="8">
        <v>4</v>
      </c>
      <c r="R6" s="8">
        <v>5</v>
      </c>
      <c r="S6" s="8">
        <v>6</v>
      </c>
      <c r="T6" s="8">
        <v>6</v>
      </c>
      <c r="U6" s="8">
        <v>4</v>
      </c>
      <c r="V6" s="8">
        <v>3</v>
      </c>
      <c r="W6" s="8">
        <v>4</v>
      </c>
      <c r="X6" s="8">
        <v>5</v>
      </c>
      <c r="Y6" s="9">
        <f t="shared" si="0"/>
        <v>6.75</v>
      </c>
      <c r="Z6" s="9">
        <f t="shared" si="1"/>
        <v>5.75</v>
      </c>
      <c r="AA6" s="9">
        <f t="shared" si="2"/>
        <v>4.5</v>
      </c>
      <c r="AB6" s="9">
        <f t="shared" si="3"/>
        <v>5.25</v>
      </c>
      <c r="AC6" s="9">
        <f t="shared" si="4"/>
        <v>4</v>
      </c>
    </row>
    <row r="7" spans="1:29" x14ac:dyDescent="0.3">
      <c r="A7" s="7" t="s">
        <v>65</v>
      </c>
      <c r="B7" s="7" t="s">
        <v>56</v>
      </c>
      <c r="C7" s="7">
        <v>32</v>
      </c>
      <c r="D7" s="7" t="s">
        <v>59</v>
      </c>
      <c r="E7" s="8">
        <v>7</v>
      </c>
      <c r="F7" s="8">
        <v>7</v>
      </c>
      <c r="G7" s="8">
        <v>7</v>
      </c>
      <c r="H7" s="8">
        <v>7</v>
      </c>
      <c r="I7" s="8">
        <v>6</v>
      </c>
      <c r="J7" s="8">
        <v>7</v>
      </c>
      <c r="K7" s="8">
        <v>5</v>
      </c>
      <c r="L7" s="8">
        <v>6</v>
      </c>
      <c r="M7" s="8">
        <v>5</v>
      </c>
      <c r="N7" s="8">
        <v>4</v>
      </c>
      <c r="O7" s="8">
        <v>4</v>
      </c>
      <c r="P7" s="8">
        <v>5</v>
      </c>
      <c r="Q7" s="8">
        <v>5</v>
      </c>
      <c r="R7" s="8">
        <v>5</v>
      </c>
      <c r="S7" s="8">
        <v>5</v>
      </c>
      <c r="T7" s="8">
        <v>6</v>
      </c>
      <c r="U7" s="8">
        <v>5</v>
      </c>
      <c r="V7" s="8">
        <v>5</v>
      </c>
      <c r="W7" s="8">
        <v>5</v>
      </c>
      <c r="X7" s="8">
        <v>6</v>
      </c>
      <c r="Y7" s="9">
        <f t="shared" si="0"/>
        <v>7</v>
      </c>
      <c r="Z7" s="9">
        <f t="shared" si="1"/>
        <v>6</v>
      </c>
      <c r="AA7" s="9">
        <f t="shared" si="2"/>
        <v>4.5</v>
      </c>
      <c r="AB7" s="9">
        <f t="shared" si="3"/>
        <v>5.25</v>
      </c>
      <c r="AC7" s="9">
        <f t="shared" si="4"/>
        <v>5.25</v>
      </c>
    </row>
    <row r="8" spans="1:29" x14ac:dyDescent="0.3">
      <c r="A8" s="7" t="s">
        <v>66</v>
      </c>
      <c r="B8" s="7" t="s">
        <v>56</v>
      </c>
      <c r="C8" s="7">
        <v>42</v>
      </c>
      <c r="D8" s="7" t="s">
        <v>63</v>
      </c>
      <c r="E8" s="8">
        <v>7</v>
      </c>
      <c r="F8" s="8">
        <v>5</v>
      </c>
      <c r="G8" s="8">
        <v>6</v>
      </c>
      <c r="H8" s="8">
        <v>7</v>
      </c>
      <c r="I8" s="8">
        <v>5</v>
      </c>
      <c r="J8" s="8">
        <v>4</v>
      </c>
      <c r="K8" s="8">
        <v>6</v>
      </c>
      <c r="L8" s="8">
        <v>6</v>
      </c>
      <c r="M8" s="8">
        <v>5</v>
      </c>
      <c r="N8" s="8">
        <v>5</v>
      </c>
      <c r="O8" s="8">
        <v>5</v>
      </c>
      <c r="P8" s="8">
        <v>6</v>
      </c>
      <c r="Q8" s="8">
        <v>5</v>
      </c>
      <c r="R8" s="8">
        <v>5</v>
      </c>
      <c r="S8" s="8">
        <v>5</v>
      </c>
      <c r="T8" s="8">
        <v>6</v>
      </c>
      <c r="U8" s="8">
        <v>5</v>
      </c>
      <c r="V8" s="8">
        <v>6</v>
      </c>
      <c r="W8" s="8">
        <v>6</v>
      </c>
      <c r="X8" s="8">
        <v>5</v>
      </c>
      <c r="Y8" s="9">
        <f t="shared" si="0"/>
        <v>6.25</v>
      </c>
      <c r="Z8" s="9">
        <f t="shared" si="1"/>
        <v>5.25</v>
      </c>
      <c r="AA8" s="9">
        <f t="shared" si="2"/>
        <v>5.25</v>
      </c>
      <c r="AB8" s="9">
        <f t="shared" si="3"/>
        <v>5.25</v>
      </c>
      <c r="AC8" s="9">
        <f t="shared" si="4"/>
        <v>5.5</v>
      </c>
    </row>
    <row r="9" spans="1:29" x14ac:dyDescent="0.3">
      <c r="A9" s="7" t="s">
        <v>67</v>
      </c>
      <c r="B9" s="7" t="s">
        <v>61</v>
      </c>
      <c r="C9" s="7">
        <v>32</v>
      </c>
      <c r="D9" s="7" t="s">
        <v>59</v>
      </c>
      <c r="E9" s="8">
        <v>6</v>
      </c>
      <c r="F9" s="8">
        <v>6</v>
      </c>
      <c r="G9" s="8">
        <v>6</v>
      </c>
      <c r="H9" s="8">
        <v>7</v>
      </c>
      <c r="I9" s="8">
        <v>5</v>
      </c>
      <c r="J9" s="8">
        <v>6</v>
      </c>
      <c r="K9" s="8">
        <v>5</v>
      </c>
      <c r="L9" s="8">
        <v>6</v>
      </c>
      <c r="M9" s="8">
        <v>6</v>
      </c>
      <c r="N9" s="8">
        <v>5</v>
      </c>
      <c r="O9" s="8">
        <v>6</v>
      </c>
      <c r="P9" s="8">
        <v>6</v>
      </c>
      <c r="Q9" s="8">
        <v>5</v>
      </c>
      <c r="R9" s="8">
        <v>5</v>
      </c>
      <c r="S9" s="8">
        <v>7</v>
      </c>
      <c r="T9" s="8">
        <v>5</v>
      </c>
      <c r="U9" s="8">
        <v>4</v>
      </c>
      <c r="V9" s="8">
        <v>6</v>
      </c>
      <c r="W9" s="8">
        <v>4</v>
      </c>
      <c r="X9" s="8">
        <v>5</v>
      </c>
      <c r="Y9" s="9">
        <f t="shared" si="0"/>
        <v>6.25</v>
      </c>
      <c r="Z9" s="9">
        <f t="shared" si="1"/>
        <v>5.5</v>
      </c>
      <c r="AA9" s="9">
        <f t="shared" si="2"/>
        <v>5.75</v>
      </c>
      <c r="AB9" s="9">
        <f t="shared" si="3"/>
        <v>5.5</v>
      </c>
      <c r="AC9" s="9">
        <f t="shared" si="4"/>
        <v>4.75</v>
      </c>
    </row>
    <row r="10" spans="1:29" x14ac:dyDescent="0.3">
      <c r="A10" s="7" t="s">
        <v>68</v>
      </c>
      <c r="B10" s="7" t="s">
        <v>56</v>
      </c>
      <c r="C10" s="7">
        <v>35</v>
      </c>
      <c r="D10" s="7" t="s">
        <v>59</v>
      </c>
      <c r="E10" s="8">
        <v>7</v>
      </c>
      <c r="F10" s="8">
        <v>7</v>
      </c>
      <c r="G10" s="8">
        <v>7</v>
      </c>
      <c r="H10" s="8">
        <v>6</v>
      </c>
      <c r="I10" s="8">
        <v>5</v>
      </c>
      <c r="J10" s="8">
        <v>6</v>
      </c>
      <c r="K10" s="8">
        <v>5</v>
      </c>
      <c r="L10" s="8">
        <v>6</v>
      </c>
      <c r="M10" s="8">
        <v>6</v>
      </c>
      <c r="N10" s="8">
        <v>6</v>
      </c>
      <c r="O10" s="8">
        <v>5</v>
      </c>
      <c r="P10" s="8">
        <v>5</v>
      </c>
      <c r="Q10" s="8">
        <v>6</v>
      </c>
      <c r="R10" s="8">
        <v>5</v>
      </c>
      <c r="S10" s="8">
        <v>5</v>
      </c>
      <c r="T10" s="8">
        <v>7</v>
      </c>
      <c r="U10" s="8">
        <v>5</v>
      </c>
      <c r="V10" s="8">
        <v>4</v>
      </c>
      <c r="W10" s="8">
        <v>3</v>
      </c>
      <c r="X10" s="8">
        <v>4</v>
      </c>
      <c r="Y10" s="9">
        <f t="shared" si="0"/>
        <v>6.75</v>
      </c>
      <c r="Z10" s="9">
        <f t="shared" si="1"/>
        <v>5.5</v>
      </c>
      <c r="AA10" s="9">
        <f t="shared" si="2"/>
        <v>5.5</v>
      </c>
      <c r="AB10" s="9">
        <f t="shared" si="3"/>
        <v>5.75</v>
      </c>
      <c r="AC10" s="9">
        <f t="shared" si="4"/>
        <v>4</v>
      </c>
    </row>
    <row r="11" spans="1:29" x14ac:dyDescent="0.3">
      <c r="A11" s="7" t="s">
        <v>69</v>
      </c>
      <c r="B11" s="7" t="s">
        <v>61</v>
      </c>
      <c r="C11" s="7">
        <v>54</v>
      </c>
      <c r="D11" s="7" t="s">
        <v>57</v>
      </c>
      <c r="E11" s="8">
        <v>7</v>
      </c>
      <c r="F11" s="8">
        <v>5</v>
      </c>
      <c r="G11" s="8">
        <v>6</v>
      </c>
      <c r="H11" s="8">
        <v>7</v>
      </c>
      <c r="I11" s="8">
        <v>5</v>
      </c>
      <c r="J11" s="8">
        <v>7</v>
      </c>
      <c r="K11" s="8">
        <v>6</v>
      </c>
      <c r="L11" s="8">
        <v>6</v>
      </c>
      <c r="M11" s="8">
        <v>5</v>
      </c>
      <c r="N11" s="8">
        <v>5</v>
      </c>
      <c r="O11" s="8">
        <v>5</v>
      </c>
      <c r="P11" s="8">
        <v>5</v>
      </c>
      <c r="Q11" s="8">
        <v>5</v>
      </c>
      <c r="R11" s="8">
        <v>5</v>
      </c>
      <c r="S11" s="8">
        <v>6</v>
      </c>
      <c r="T11" s="8">
        <v>5</v>
      </c>
      <c r="U11" s="8">
        <v>5</v>
      </c>
      <c r="V11" s="8">
        <v>6</v>
      </c>
      <c r="W11" s="8">
        <v>5</v>
      </c>
      <c r="X11" s="8">
        <v>5</v>
      </c>
      <c r="Y11" s="9">
        <f t="shared" si="0"/>
        <v>6.25</v>
      </c>
      <c r="Z11" s="9">
        <f t="shared" si="1"/>
        <v>6</v>
      </c>
      <c r="AA11" s="9">
        <f t="shared" si="2"/>
        <v>5</v>
      </c>
      <c r="AB11" s="9">
        <f t="shared" si="3"/>
        <v>5.25</v>
      </c>
      <c r="AC11" s="9">
        <f t="shared" si="4"/>
        <v>5.25</v>
      </c>
    </row>
    <row r="12" spans="1:29" x14ac:dyDescent="0.3">
      <c r="A12" s="7" t="s">
        <v>70</v>
      </c>
      <c r="B12" s="7" t="s">
        <v>61</v>
      </c>
      <c r="C12" s="7">
        <v>25</v>
      </c>
      <c r="D12" s="7" t="s">
        <v>57</v>
      </c>
      <c r="E12" s="8">
        <v>7</v>
      </c>
      <c r="F12" s="8">
        <v>7</v>
      </c>
      <c r="G12" s="8">
        <v>7</v>
      </c>
      <c r="H12" s="8">
        <v>7</v>
      </c>
      <c r="I12" s="8">
        <v>6</v>
      </c>
      <c r="J12" s="8">
        <v>6</v>
      </c>
      <c r="K12" s="8">
        <v>7</v>
      </c>
      <c r="L12" s="8">
        <v>6</v>
      </c>
      <c r="M12" s="8">
        <v>6</v>
      </c>
      <c r="N12" s="8">
        <v>5</v>
      </c>
      <c r="O12" s="8">
        <v>5</v>
      </c>
      <c r="P12" s="8">
        <v>5</v>
      </c>
      <c r="Q12" s="8">
        <v>5</v>
      </c>
      <c r="R12" s="8">
        <v>6</v>
      </c>
      <c r="S12" s="8">
        <v>6</v>
      </c>
      <c r="T12" s="8">
        <v>6</v>
      </c>
      <c r="U12" s="8">
        <v>4</v>
      </c>
      <c r="V12" s="8">
        <v>4</v>
      </c>
      <c r="W12" s="8">
        <v>4</v>
      </c>
      <c r="X12" s="8">
        <v>5</v>
      </c>
      <c r="Y12" s="9">
        <f t="shared" si="0"/>
        <v>7</v>
      </c>
      <c r="Z12" s="9">
        <f t="shared" si="1"/>
        <v>6.25</v>
      </c>
      <c r="AA12" s="9">
        <f t="shared" si="2"/>
        <v>5.25</v>
      </c>
      <c r="AB12" s="9">
        <f t="shared" si="3"/>
        <v>5.75</v>
      </c>
      <c r="AC12" s="9">
        <f t="shared" si="4"/>
        <v>4.25</v>
      </c>
    </row>
    <row r="13" spans="1:29" x14ac:dyDescent="0.3">
      <c r="A13" s="7" t="s">
        <v>71</v>
      </c>
      <c r="B13" s="7" t="s">
        <v>61</v>
      </c>
      <c r="C13" s="7">
        <v>41</v>
      </c>
      <c r="D13" s="7" t="s">
        <v>63</v>
      </c>
      <c r="E13" s="8">
        <v>6</v>
      </c>
      <c r="F13" s="8">
        <v>6</v>
      </c>
      <c r="G13" s="8">
        <v>6</v>
      </c>
      <c r="H13" s="8">
        <v>6</v>
      </c>
      <c r="I13" s="8">
        <v>6</v>
      </c>
      <c r="J13" s="8">
        <v>6</v>
      </c>
      <c r="K13" s="8">
        <v>5</v>
      </c>
      <c r="L13" s="8">
        <v>5</v>
      </c>
      <c r="M13" s="8">
        <v>5</v>
      </c>
      <c r="N13" s="8">
        <v>6</v>
      </c>
      <c r="O13" s="8">
        <v>5</v>
      </c>
      <c r="P13" s="8">
        <v>5</v>
      </c>
      <c r="Q13" s="8">
        <v>6</v>
      </c>
      <c r="R13" s="8">
        <v>5</v>
      </c>
      <c r="S13" s="8">
        <v>6</v>
      </c>
      <c r="T13" s="8">
        <v>6</v>
      </c>
      <c r="U13" s="8">
        <v>5</v>
      </c>
      <c r="V13" s="8">
        <v>6</v>
      </c>
      <c r="W13" s="8">
        <v>5</v>
      </c>
      <c r="X13" s="8">
        <v>5</v>
      </c>
      <c r="Y13" s="9">
        <f t="shared" si="0"/>
        <v>6</v>
      </c>
      <c r="Z13" s="9">
        <f t="shared" si="1"/>
        <v>5.5</v>
      </c>
      <c r="AA13" s="9">
        <f t="shared" si="2"/>
        <v>5.25</v>
      </c>
      <c r="AB13" s="9">
        <f t="shared" si="3"/>
        <v>5.75</v>
      </c>
      <c r="AC13" s="9">
        <f t="shared" si="4"/>
        <v>5.25</v>
      </c>
    </row>
    <row r="14" spans="1:29" x14ac:dyDescent="0.3">
      <c r="A14" s="7" t="s">
        <v>72</v>
      </c>
      <c r="B14" s="7" t="s">
        <v>56</v>
      </c>
      <c r="C14" s="7">
        <v>34</v>
      </c>
      <c r="D14" s="7" t="s">
        <v>63</v>
      </c>
      <c r="E14" s="8">
        <v>6</v>
      </c>
      <c r="F14" s="8">
        <v>6</v>
      </c>
      <c r="G14" s="8">
        <v>7</v>
      </c>
      <c r="H14" s="8">
        <v>6</v>
      </c>
      <c r="I14" s="8">
        <v>6</v>
      </c>
      <c r="J14" s="8">
        <v>6</v>
      </c>
      <c r="K14" s="8">
        <v>5</v>
      </c>
      <c r="L14" s="8">
        <v>5</v>
      </c>
      <c r="M14" s="8">
        <v>5</v>
      </c>
      <c r="N14" s="8">
        <v>4</v>
      </c>
      <c r="O14" s="8">
        <v>6</v>
      </c>
      <c r="P14" s="8">
        <v>5</v>
      </c>
      <c r="Q14" s="8">
        <v>6</v>
      </c>
      <c r="R14" s="8">
        <v>5</v>
      </c>
      <c r="S14" s="8">
        <v>6</v>
      </c>
      <c r="T14" s="8">
        <v>5</v>
      </c>
      <c r="U14" s="8">
        <v>6</v>
      </c>
      <c r="V14" s="8">
        <v>5</v>
      </c>
      <c r="W14" s="8">
        <v>6</v>
      </c>
      <c r="X14" s="8">
        <v>5</v>
      </c>
      <c r="Y14" s="9">
        <f t="shared" si="0"/>
        <v>6.25</v>
      </c>
      <c r="Z14" s="9">
        <f t="shared" si="1"/>
        <v>5.5</v>
      </c>
      <c r="AA14" s="9">
        <f t="shared" si="2"/>
        <v>5</v>
      </c>
      <c r="AB14" s="9">
        <f t="shared" si="3"/>
        <v>5.5</v>
      </c>
      <c r="AC14" s="9">
        <f t="shared" si="4"/>
        <v>5.5</v>
      </c>
    </row>
    <row r="15" spans="1:29" x14ac:dyDescent="0.3">
      <c r="A15" s="7" t="s">
        <v>73</v>
      </c>
      <c r="B15" s="7" t="s">
        <v>61</v>
      </c>
      <c r="C15" s="7">
        <v>43</v>
      </c>
      <c r="D15" s="7" t="s">
        <v>57</v>
      </c>
      <c r="E15" s="8">
        <v>6</v>
      </c>
      <c r="F15" s="8">
        <v>6</v>
      </c>
      <c r="G15" s="8">
        <v>7</v>
      </c>
      <c r="H15" s="8">
        <v>6</v>
      </c>
      <c r="I15" s="8">
        <v>5</v>
      </c>
      <c r="J15" s="8">
        <v>5</v>
      </c>
      <c r="K15" s="8">
        <v>5</v>
      </c>
      <c r="L15" s="8">
        <v>5</v>
      </c>
      <c r="M15" s="8">
        <v>6</v>
      </c>
      <c r="N15" s="8">
        <v>4</v>
      </c>
      <c r="O15" s="8">
        <v>5</v>
      </c>
      <c r="P15" s="8">
        <v>5</v>
      </c>
      <c r="Q15" s="8">
        <v>5</v>
      </c>
      <c r="R15" s="8">
        <v>6</v>
      </c>
      <c r="S15" s="8">
        <v>6</v>
      </c>
      <c r="T15" s="8">
        <v>6</v>
      </c>
      <c r="U15" s="8">
        <v>5</v>
      </c>
      <c r="V15" s="8">
        <v>6</v>
      </c>
      <c r="W15" s="8">
        <v>6</v>
      </c>
      <c r="X15" s="8">
        <v>3</v>
      </c>
      <c r="Y15" s="9">
        <f t="shared" si="0"/>
        <v>6.25</v>
      </c>
      <c r="Z15" s="9">
        <f t="shared" si="1"/>
        <v>5</v>
      </c>
      <c r="AA15" s="9">
        <f t="shared" si="2"/>
        <v>5</v>
      </c>
      <c r="AB15" s="9">
        <f t="shared" si="3"/>
        <v>5.75</v>
      </c>
      <c r="AC15" s="9">
        <f t="shared" si="4"/>
        <v>5</v>
      </c>
    </row>
    <row r="16" spans="1:29" x14ac:dyDescent="0.3">
      <c r="A16" s="7" t="s">
        <v>74</v>
      </c>
      <c r="B16" s="7" t="s">
        <v>61</v>
      </c>
      <c r="C16" s="7">
        <v>46</v>
      </c>
      <c r="D16" s="7" t="s">
        <v>57</v>
      </c>
      <c r="E16" s="8">
        <v>7</v>
      </c>
      <c r="F16" s="8">
        <v>6</v>
      </c>
      <c r="G16" s="8">
        <v>6</v>
      </c>
      <c r="H16" s="8">
        <v>7</v>
      </c>
      <c r="I16" s="8">
        <v>5</v>
      </c>
      <c r="J16" s="8">
        <v>6</v>
      </c>
      <c r="K16" s="8">
        <v>6</v>
      </c>
      <c r="L16" s="8">
        <v>6</v>
      </c>
      <c r="M16" s="8">
        <v>5</v>
      </c>
      <c r="N16" s="8">
        <v>4</v>
      </c>
      <c r="O16" s="8">
        <v>5</v>
      </c>
      <c r="P16" s="8">
        <v>5</v>
      </c>
      <c r="Q16" s="8">
        <v>6</v>
      </c>
      <c r="R16" s="8">
        <v>5</v>
      </c>
      <c r="S16" s="8">
        <v>5</v>
      </c>
      <c r="T16" s="8">
        <v>6</v>
      </c>
      <c r="U16" s="8">
        <v>5</v>
      </c>
      <c r="V16" s="8">
        <v>5</v>
      </c>
      <c r="W16" s="8">
        <v>5</v>
      </c>
      <c r="X16" s="8">
        <v>4</v>
      </c>
      <c r="Y16" s="9">
        <f t="shared" si="0"/>
        <v>6.5</v>
      </c>
      <c r="Z16" s="9">
        <f t="shared" si="1"/>
        <v>5.75</v>
      </c>
      <c r="AA16" s="9">
        <f t="shared" si="2"/>
        <v>4.75</v>
      </c>
      <c r="AB16" s="9">
        <f t="shared" si="3"/>
        <v>5.5</v>
      </c>
      <c r="AC16" s="9">
        <f t="shared" si="4"/>
        <v>4.75</v>
      </c>
    </row>
    <row r="17" spans="1:29" x14ac:dyDescent="0.3">
      <c r="A17" s="7" t="s">
        <v>75</v>
      </c>
      <c r="B17" s="7" t="s">
        <v>61</v>
      </c>
      <c r="C17" s="7">
        <v>30</v>
      </c>
      <c r="D17" s="7" t="s">
        <v>57</v>
      </c>
      <c r="E17" s="8">
        <v>6</v>
      </c>
      <c r="F17" s="8">
        <v>6</v>
      </c>
      <c r="G17" s="8">
        <v>6</v>
      </c>
      <c r="H17" s="8">
        <v>6</v>
      </c>
      <c r="I17" s="8">
        <v>6</v>
      </c>
      <c r="J17" s="8">
        <v>7</v>
      </c>
      <c r="K17" s="8">
        <v>6</v>
      </c>
      <c r="L17" s="8">
        <v>6</v>
      </c>
      <c r="M17" s="8">
        <v>5</v>
      </c>
      <c r="N17" s="8">
        <v>5</v>
      </c>
      <c r="O17" s="8">
        <v>5</v>
      </c>
      <c r="P17" s="8">
        <v>5</v>
      </c>
      <c r="Q17" s="8">
        <v>6</v>
      </c>
      <c r="R17" s="8">
        <v>6</v>
      </c>
      <c r="S17" s="8">
        <v>6</v>
      </c>
      <c r="T17" s="8">
        <v>5</v>
      </c>
      <c r="U17" s="8">
        <v>5</v>
      </c>
      <c r="V17" s="8">
        <v>5</v>
      </c>
      <c r="W17" s="8">
        <v>5</v>
      </c>
      <c r="X17" s="8">
        <v>5</v>
      </c>
      <c r="Y17" s="9">
        <f t="shared" si="0"/>
        <v>6</v>
      </c>
      <c r="Z17" s="9">
        <f t="shared" si="1"/>
        <v>6.25</v>
      </c>
      <c r="AA17" s="9">
        <f t="shared" si="2"/>
        <v>5</v>
      </c>
      <c r="AB17" s="9">
        <f t="shared" si="3"/>
        <v>5.75</v>
      </c>
      <c r="AC17" s="9">
        <f t="shared" si="4"/>
        <v>5</v>
      </c>
    </row>
    <row r="18" spans="1:29" x14ac:dyDescent="0.3">
      <c r="A18" s="7" t="s">
        <v>76</v>
      </c>
      <c r="B18" s="7" t="s">
        <v>61</v>
      </c>
      <c r="C18" s="7">
        <v>43</v>
      </c>
      <c r="D18" s="7" t="s">
        <v>59</v>
      </c>
      <c r="E18" s="8">
        <v>7</v>
      </c>
      <c r="F18" s="8">
        <v>6</v>
      </c>
      <c r="G18" s="8">
        <v>6</v>
      </c>
      <c r="H18" s="8">
        <v>6</v>
      </c>
      <c r="I18" s="8">
        <v>5</v>
      </c>
      <c r="J18" s="8">
        <v>6</v>
      </c>
      <c r="K18" s="8">
        <v>6</v>
      </c>
      <c r="L18" s="8">
        <v>5</v>
      </c>
      <c r="M18" s="8">
        <v>5</v>
      </c>
      <c r="N18" s="8">
        <v>5</v>
      </c>
      <c r="O18" s="8">
        <v>5</v>
      </c>
      <c r="P18" s="8">
        <v>5</v>
      </c>
      <c r="Q18" s="8">
        <v>6</v>
      </c>
      <c r="R18" s="8">
        <v>6</v>
      </c>
      <c r="S18" s="8">
        <v>7</v>
      </c>
      <c r="T18" s="8">
        <v>6</v>
      </c>
      <c r="U18" s="8">
        <v>5</v>
      </c>
      <c r="V18" s="8">
        <v>5</v>
      </c>
      <c r="W18" s="8">
        <v>5</v>
      </c>
      <c r="X18" s="8">
        <v>4</v>
      </c>
      <c r="Y18" s="9">
        <f t="shared" si="0"/>
        <v>6.25</v>
      </c>
      <c r="Z18" s="9">
        <f t="shared" si="1"/>
        <v>5.5</v>
      </c>
      <c r="AA18" s="9">
        <f t="shared" si="2"/>
        <v>5</v>
      </c>
      <c r="AB18" s="9">
        <f t="shared" si="3"/>
        <v>6.25</v>
      </c>
      <c r="AC18" s="9">
        <f t="shared" si="4"/>
        <v>4.75</v>
      </c>
    </row>
    <row r="19" spans="1:29" x14ac:dyDescent="0.3">
      <c r="A19" s="7" t="s">
        <v>77</v>
      </c>
      <c r="B19" s="7" t="s">
        <v>61</v>
      </c>
      <c r="C19" s="7">
        <v>43</v>
      </c>
      <c r="D19" s="7" t="s">
        <v>59</v>
      </c>
      <c r="E19" s="8">
        <v>6</v>
      </c>
      <c r="F19" s="8">
        <v>7</v>
      </c>
      <c r="G19" s="8">
        <v>5</v>
      </c>
      <c r="H19" s="8">
        <v>6</v>
      </c>
      <c r="I19" s="8">
        <v>4</v>
      </c>
      <c r="J19" s="8">
        <v>6</v>
      </c>
      <c r="K19" s="8">
        <v>5</v>
      </c>
      <c r="L19" s="8">
        <v>7</v>
      </c>
      <c r="M19" s="8">
        <v>5</v>
      </c>
      <c r="N19" s="8">
        <v>4</v>
      </c>
      <c r="O19" s="8">
        <v>5</v>
      </c>
      <c r="P19" s="8">
        <v>5</v>
      </c>
      <c r="Q19" s="8">
        <v>5</v>
      </c>
      <c r="R19" s="8">
        <v>5</v>
      </c>
      <c r="S19" s="8">
        <v>6</v>
      </c>
      <c r="T19" s="8">
        <v>6</v>
      </c>
      <c r="U19" s="8">
        <v>5</v>
      </c>
      <c r="V19" s="8">
        <v>5</v>
      </c>
      <c r="W19" s="8">
        <v>5</v>
      </c>
      <c r="X19" s="8">
        <v>4</v>
      </c>
      <c r="Y19" s="9">
        <f t="shared" si="0"/>
        <v>6</v>
      </c>
      <c r="Z19" s="9">
        <f t="shared" si="1"/>
        <v>5.5</v>
      </c>
      <c r="AA19" s="9">
        <f t="shared" si="2"/>
        <v>4.75</v>
      </c>
      <c r="AB19" s="9">
        <f t="shared" si="3"/>
        <v>5.5</v>
      </c>
      <c r="AC19" s="9">
        <f t="shared" si="4"/>
        <v>4.75</v>
      </c>
    </row>
    <row r="20" spans="1:29" x14ac:dyDescent="0.3">
      <c r="A20" s="7" t="s">
        <v>78</v>
      </c>
      <c r="B20" s="7" t="s">
        <v>61</v>
      </c>
      <c r="C20" s="7">
        <v>35</v>
      </c>
      <c r="D20" s="7" t="s">
        <v>57</v>
      </c>
      <c r="E20" s="8">
        <v>7</v>
      </c>
      <c r="F20" s="8">
        <v>7</v>
      </c>
      <c r="G20" s="8">
        <v>5</v>
      </c>
      <c r="H20" s="8">
        <v>7</v>
      </c>
      <c r="I20" s="8">
        <v>6</v>
      </c>
      <c r="J20" s="8">
        <v>6</v>
      </c>
      <c r="K20" s="8">
        <v>6</v>
      </c>
      <c r="L20" s="8">
        <v>4</v>
      </c>
      <c r="M20" s="8">
        <v>5</v>
      </c>
      <c r="N20" s="8">
        <v>6</v>
      </c>
      <c r="O20" s="8">
        <v>6</v>
      </c>
      <c r="P20" s="8">
        <v>7</v>
      </c>
      <c r="Q20" s="8">
        <v>5</v>
      </c>
      <c r="R20" s="8">
        <v>4</v>
      </c>
      <c r="S20" s="8">
        <v>5</v>
      </c>
      <c r="T20" s="8">
        <v>6</v>
      </c>
      <c r="U20" s="8">
        <v>5</v>
      </c>
      <c r="V20" s="8">
        <v>6</v>
      </c>
      <c r="W20" s="8">
        <v>5</v>
      </c>
      <c r="X20" s="8">
        <v>6</v>
      </c>
      <c r="Y20" s="9">
        <f t="shared" si="0"/>
        <v>6.5</v>
      </c>
      <c r="Z20" s="9">
        <f t="shared" si="1"/>
        <v>5.5</v>
      </c>
      <c r="AA20" s="9">
        <f t="shared" si="2"/>
        <v>6</v>
      </c>
      <c r="AB20" s="9">
        <f t="shared" si="3"/>
        <v>5</v>
      </c>
      <c r="AC20" s="9">
        <f t="shared" si="4"/>
        <v>5.5</v>
      </c>
    </row>
    <row r="21" spans="1:29" x14ac:dyDescent="0.3">
      <c r="A21" s="7" t="s">
        <v>79</v>
      </c>
      <c r="B21" s="7" t="s">
        <v>56</v>
      </c>
      <c r="C21" s="7">
        <v>23</v>
      </c>
      <c r="D21" s="7" t="s">
        <v>59</v>
      </c>
      <c r="E21" s="8">
        <v>6</v>
      </c>
      <c r="F21" s="8">
        <v>6</v>
      </c>
      <c r="G21" s="8">
        <v>7</v>
      </c>
      <c r="H21" s="8">
        <v>7</v>
      </c>
      <c r="I21" s="8">
        <v>7</v>
      </c>
      <c r="J21" s="8">
        <v>6</v>
      </c>
      <c r="K21" s="8">
        <v>6</v>
      </c>
      <c r="L21" s="8">
        <v>5</v>
      </c>
      <c r="M21" s="8">
        <v>4</v>
      </c>
      <c r="N21" s="8">
        <v>5</v>
      </c>
      <c r="O21" s="8">
        <v>4</v>
      </c>
      <c r="P21" s="8">
        <v>4</v>
      </c>
      <c r="Q21" s="8">
        <v>7</v>
      </c>
      <c r="R21" s="8">
        <v>7</v>
      </c>
      <c r="S21" s="8">
        <v>6</v>
      </c>
      <c r="T21" s="8">
        <v>7</v>
      </c>
      <c r="U21" s="8">
        <v>6</v>
      </c>
      <c r="V21" s="8">
        <v>6</v>
      </c>
      <c r="W21" s="8">
        <v>6</v>
      </c>
      <c r="X21" s="8">
        <v>5</v>
      </c>
      <c r="Y21" s="9">
        <f t="shared" si="0"/>
        <v>6.5</v>
      </c>
      <c r="Z21" s="9">
        <f t="shared" si="1"/>
        <v>6</v>
      </c>
      <c r="AA21" s="9">
        <f t="shared" si="2"/>
        <v>4.25</v>
      </c>
      <c r="AB21" s="9">
        <f t="shared" si="3"/>
        <v>6.75</v>
      </c>
      <c r="AC21" s="9">
        <f t="shared" si="4"/>
        <v>5.75</v>
      </c>
    </row>
    <row r="22" spans="1:29" x14ac:dyDescent="0.3">
      <c r="A22" s="7" t="s">
        <v>80</v>
      </c>
      <c r="B22" s="7" t="s">
        <v>61</v>
      </c>
      <c r="C22" s="7">
        <v>41</v>
      </c>
      <c r="D22" s="7" t="s">
        <v>63</v>
      </c>
      <c r="E22" s="8">
        <v>6</v>
      </c>
      <c r="F22" s="8">
        <v>7</v>
      </c>
      <c r="G22" s="8">
        <v>6</v>
      </c>
      <c r="H22" s="8">
        <v>7</v>
      </c>
      <c r="I22" s="8">
        <v>5</v>
      </c>
      <c r="J22" s="8">
        <v>5</v>
      </c>
      <c r="K22" s="8">
        <v>5</v>
      </c>
      <c r="L22" s="8">
        <v>7</v>
      </c>
      <c r="M22" s="8">
        <v>5</v>
      </c>
      <c r="N22" s="8">
        <v>6</v>
      </c>
      <c r="O22" s="8">
        <v>5</v>
      </c>
      <c r="P22" s="8">
        <v>6</v>
      </c>
      <c r="Q22" s="8">
        <v>5</v>
      </c>
      <c r="R22" s="8">
        <v>5</v>
      </c>
      <c r="S22" s="8">
        <v>5</v>
      </c>
      <c r="T22" s="8">
        <v>5</v>
      </c>
      <c r="U22" s="8">
        <v>6</v>
      </c>
      <c r="V22" s="8">
        <v>6</v>
      </c>
      <c r="W22" s="8">
        <v>6</v>
      </c>
      <c r="X22" s="8">
        <v>6</v>
      </c>
      <c r="Y22" s="9">
        <f t="shared" si="0"/>
        <v>6.5</v>
      </c>
      <c r="Z22" s="9">
        <f t="shared" si="1"/>
        <v>5.5</v>
      </c>
      <c r="AA22" s="9">
        <f t="shared" si="2"/>
        <v>5.5</v>
      </c>
      <c r="AB22" s="9">
        <f t="shared" si="3"/>
        <v>5</v>
      </c>
      <c r="AC22" s="9">
        <f t="shared" si="4"/>
        <v>6</v>
      </c>
    </row>
    <row r="23" spans="1:29" x14ac:dyDescent="0.3">
      <c r="A23" s="7" t="s">
        <v>81</v>
      </c>
      <c r="B23" s="7" t="s">
        <v>56</v>
      </c>
      <c r="C23" s="7">
        <v>20</v>
      </c>
      <c r="D23" s="7" t="s">
        <v>63</v>
      </c>
      <c r="E23" s="8">
        <v>6</v>
      </c>
      <c r="F23" s="8">
        <v>5</v>
      </c>
      <c r="G23" s="8">
        <v>7</v>
      </c>
      <c r="H23" s="8">
        <v>7</v>
      </c>
      <c r="I23" s="8">
        <v>6</v>
      </c>
      <c r="J23" s="8">
        <v>6</v>
      </c>
      <c r="K23" s="8">
        <v>5</v>
      </c>
      <c r="L23" s="8">
        <v>6</v>
      </c>
      <c r="M23" s="8">
        <v>4</v>
      </c>
      <c r="N23" s="8">
        <v>5</v>
      </c>
      <c r="O23" s="8">
        <v>5</v>
      </c>
      <c r="P23" s="8">
        <v>6</v>
      </c>
      <c r="Q23" s="8">
        <v>6</v>
      </c>
      <c r="R23" s="8">
        <v>6</v>
      </c>
      <c r="S23" s="8">
        <v>6</v>
      </c>
      <c r="T23" s="8">
        <v>7</v>
      </c>
      <c r="U23" s="8">
        <v>4</v>
      </c>
      <c r="V23" s="8">
        <v>5</v>
      </c>
      <c r="W23" s="8">
        <v>5</v>
      </c>
      <c r="X23" s="8">
        <v>5</v>
      </c>
      <c r="Y23" s="9">
        <f t="shared" si="0"/>
        <v>6.25</v>
      </c>
      <c r="Z23" s="9">
        <f t="shared" si="1"/>
        <v>5.75</v>
      </c>
      <c r="AA23" s="9">
        <f t="shared" si="2"/>
        <v>5</v>
      </c>
      <c r="AB23" s="9">
        <f t="shared" si="3"/>
        <v>6.25</v>
      </c>
      <c r="AC23" s="9">
        <f t="shared" si="4"/>
        <v>4.75</v>
      </c>
    </row>
    <row r="24" spans="1:29" x14ac:dyDescent="0.3">
      <c r="A24" s="7" t="s">
        <v>82</v>
      </c>
      <c r="B24" s="7" t="s">
        <v>56</v>
      </c>
      <c r="C24" s="7">
        <v>50</v>
      </c>
      <c r="D24" s="7" t="s">
        <v>57</v>
      </c>
      <c r="E24" s="8">
        <v>6</v>
      </c>
      <c r="F24" s="8">
        <v>6</v>
      </c>
      <c r="G24" s="8">
        <v>6</v>
      </c>
      <c r="H24" s="8">
        <v>6</v>
      </c>
      <c r="I24" s="8">
        <v>5</v>
      </c>
      <c r="J24" s="8">
        <v>5</v>
      </c>
      <c r="K24" s="8">
        <v>6</v>
      </c>
      <c r="L24" s="8">
        <v>5</v>
      </c>
      <c r="M24" s="8">
        <v>5</v>
      </c>
      <c r="N24" s="8">
        <v>4</v>
      </c>
      <c r="O24" s="8">
        <v>4</v>
      </c>
      <c r="P24" s="8">
        <v>5</v>
      </c>
      <c r="Q24" s="8">
        <v>5</v>
      </c>
      <c r="R24" s="8">
        <v>6</v>
      </c>
      <c r="S24" s="8">
        <v>5</v>
      </c>
      <c r="T24" s="8">
        <v>5</v>
      </c>
      <c r="U24" s="8">
        <v>6</v>
      </c>
      <c r="V24" s="8">
        <v>5</v>
      </c>
      <c r="W24" s="8">
        <v>5</v>
      </c>
      <c r="X24" s="8">
        <v>4</v>
      </c>
      <c r="Y24" s="9">
        <f t="shared" si="0"/>
        <v>6</v>
      </c>
      <c r="Z24" s="9">
        <f t="shared" si="1"/>
        <v>5.25</v>
      </c>
      <c r="AA24" s="9">
        <f t="shared" si="2"/>
        <v>4.5</v>
      </c>
      <c r="AB24" s="9">
        <f t="shared" si="3"/>
        <v>5.25</v>
      </c>
      <c r="AC24" s="9">
        <f t="shared" si="4"/>
        <v>5</v>
      </c>
    </row>
    <row r="25" spans="1:29" x14ac:dyDescent="0.3">
      <c r="A25" s="7" t="s">
        <v>83</v>
      </c>
      <c r="B25" s="7" t="s">
        <v>61</v>
      </c>
      <c r="C25" s="7">
        <v>49</v>
      </c>
      <c r="D25" s="7" t="s">
        <v>63</v>
      </c>
      <c r="E25" s="8">
        <v>6</v>
      </c>
      <c r="F25" s="8">
        <v>6</v>
      </c>
      <c r="G25" s="8">
        <v>6</v>
      </c>
      <c r="H25" s="8">
        <v>7</v>
      </c>
      <c r="I25" s="8">
        <v>5</v>
      </c>
      <c r="J25" s="8">
        <v>5</v>
      </c>
      <c r="K25" s="8">
        <v>5</v>
      </c>
      <c r="L25" s="8">
        <v>5</v>
      </c>
      <c r="M25" s="8">
        <v>5</v>
      </c>
      <c r="N25" s="8">
        <v>5</v>
      </c>
      <c r="O25" s="8">
        <v>6</v>
      </c>
      <c r="P25" s="8">
        <v>5</v>
      </c>
      <c r="Q25" s="8">
        <v>5</v>
      </c>
      <c r="R25" s="8">
        <v>5</v>
      </c>
      <c r="S25" s="8">
        <v>6</v>
      </c>
      <c r="T25" s="8">
        <v>6</v>
      </c>
      <c r="U25" s="8">
        <v>5</v>
      </c>
      <c r="V25" s="8">
        <v>5</v>
      </c>
      <c r="W25" s="8">
        <v>5</v>
      </c>
      <c r="X25" s="8">
        <v>5</v>
      </c>
      <c r="Y25" s="9">
        <f t="shared" si="0"/>
        <v>6.25</v>
      </c>
      <c r="Z25" s="9">
        <f t="shared" si="1"/>
        <v>5</v>
      </c>
      <c r="AA25" s="9">
        <f t="shared" si="2"/>
        <v>5.25</v>
      </c>
      <c r="AB25" s="9">
        <f t="shared" si="3"/>
        <v>5.5</v>
      </c>
      <c r="AC25" s="9">
        <f t="shared" si="4"/>
        <v>5</v>
      </c>
    </row>
    <row r="26" spans="1:29" x14ac:dyDescent="0.3">
      <c r="A26" s="7" t="s">
        <v>84</v>
      </c>
      <c r="B26" s="7" t="s">
        <v>61</v>
      </c>
      <c r="C26" s="7">
        <v>49</v>
      </c>
      <c r="D26" s="7" t="s">
        <v>63</v>
      </c>
      <c r="E26" s="8">
        <v>5</v>
      </c>
      <c r="F26" s="8">
        <v>5</v>
      </c>
      <c r="G26" s="8">
        <v>5</v>
      </c>
      <c r="H26" s="8">
        <v>5</v>
      </c>
      <c r="I26" s="8">
        <v>5</v>
      </c>
      <c r="J26" s="8">
        <v>6</v>
      </c>
      <c r="K26" s="8">
        <v>6</v>
      </c>
      <c r="L26" s="8">
        <v>6</v>
      </c>
      <c r="M26" s="8">
        <v>4</v>
      </c>
      <c r="N26" s="8">
        <v>4</v>
      </c>
      <c r="O26" s="8">
        <v>5</v>
      </c>
      <c r="P26" s="8">
        <v>5</v>
      </c>
      <c r="Q26" s="8">
        <v>5</v>
      </c>
      <c r="R26" s="8">
        <v>5</v>
      </c>
      <c r="S26" s="8">
        <v>5</v>
      </c>
      <c r="T26" s="8">
        <v>4</v>
      </c>
      <c r="U26" s="8">
        <v>5</v>
      </c>
      <c r="V26" s="8">
        <v>3</v>
      </c>
      <c r="W26" s="8">
        <v>4</v>
      </c>
      <c r="X26" s="8">
        <v>5</v>
      </c>
      <c r="Y26" s="9">
        <f t="shared" si="0"/>
        <v>5</v>
      </c>
      <c r="Z26" s="9">
        <f t="shared" si="1"/>
        <v>5.75</v>
      </c>
      <c r="AA26" s="9">
        <f t="shared" si="2"/>
        <v>4.5</v>
      </c>
      <c r="AB26" s="9">
        <f t="shared" si="3"/>
        <v>4.75</v>
      </c>
      <c r="AC26" s="9">
        <f t="shared" si="4"/>
        <v>4.25</v>
      </c>
    </row>
    <row r="27" spans="1:29" x14ac:dyDescent="0.3">
      <c r="A27" s="7" t="s">
        <v>85</v>
      </c>
      <c r="B27" s="7" t="s">
        <v>61</v>
      </c>
      <c r="C27" s="7">
        <v>19</v>
      </c>
      <c r="D27" s="7" t="s">
        <v>57</v>
      </c>
      <c r="E27" s="8">
        <v>7</v>
      </c>
      <c r="F27" s="8">
        <v>7</v>
      </c>
      <c r="G27" s="8">
        <v>7</v>
      </c>
      <c r="H27" s="8">
        <v>7</v>
      </c>
      <c r="I27" s="8">
        <v>6</v>
      </c>
      <c r="J27" s="8">
        <v>5</v>
      </c>
      <c r="K27" s="8">
        <v>5</v>
      </c>
      <c r="L27" s="8">
        <v>6</v>
      </c>
      <c r="M27" s="8">
        <v>5</v>
      </c>
      <c r="N27" s="8">
        <v>5</v>
      </c>
      <c r="O27" s="8">
        <v>5</v>
      </c>
      <c r="P27" s="8">
        <v>4</v>
      </c>
      <c r="Q27" s="8">
        <v>5</v>
      </c>
      <c r="R27" s="8">
        <v>6</v>
      </c>
      <c r="S27" s="8">
        <v>6</v>
      </c>
      <c r="T27" s="8">
        <v>6</v>
      </c>
      <c r="U27" s="8">
        <v>5</v>
      </c>
      <c r="V27" s="8">
        <v>6</v>
      </c>
      <c r="W27" s="8">
        <v>5</v>
      </c>
      <c r="X27" s="8">
        <v>5</v>
      </c>
      <c r="Y27" s="9">
        <f t="shared" si="0"/>
        <v>7</v>
      </c>
      <c r="Z27" s="9">
        <f t="shared" si="1"/>
        <v>5.5</v>
      </c>
      <c r="AA27" s="9">
        <f t="shared" si="2"/>
        <v>4.75</v>
      </c>
      <c r="AB27" s="9">
        <f t="shared" si="3"/>
        <v>5.75</v>
      </c>
      <c r="AC27" s="9">
        <f t="shared" si="4"/>
        <v>5.25</v>
      </c>
    </row>
    <row r="28" spans="1:29" x14ac:dyDescent="0.3">
      <c r="A28" s="7" t="s">
        <v>86</v>
      </c>
      <c r="B28" s="7" t="s">
        <v>61</v>
      </c>
      <c r="C28" s="7">
        <v>53</v>
      </c>
      <c r="D28" s="7" t="s">
        <v>57</v>
      </c>
      <c r="E28" s="8">
        <v>6</v>
      </c>
      <c r="F28" s="8">
        <v>6</v>
      </c>
      <c r="G28" s="8">
        <v>6</v>
      </c>
      <c r="H28" s="8">
        <v>7</v>
      </c>
      <c r="I28" s="8">
        <v>7</v>
      </c>
      <c r="J28" s="8">
        <v>7</v>
      </c>
      <c r="K28" s="8">
        <v>7</v>
      </c>
      <c r="L28" s="8">
        <v>7</v>
      </c>
      <c r="M28" s="8">
        <v>5</v>
      </c>
      <c r="N28" s="8">
        <v>5</v>
      </c>
      <c r="O28" s="8">
        <v>4</v>
      </c>
      <c r="P28" s="8">
        <v>6</v>
      </c>
      <c r="Q28" s="8">
        <v>5</v>
      </c>
      <c r="R28" s="8">
        <v>6</v>
      </c>
      <c r="S28" s="8">
        <v>4</v>
      </c>
      <c r="T28" s="8">
        <v>5</v>
      </c>
      <c r="U28" s="8">
        <v>5</v>
      </c>
      <c r="V28" s="8">
        <v>6</v>
      </c>
      <c r="W28" s="8">
        <v>6</v>
      </c>
      <c r="X28" s="8">
        <v>5</v>
      </c>
      <c r="Y28" s="9">
        <f t="shared" si="0"/>
        <v>6.25</v>
      </c>
      <c r="Z28" s="9">
        <f t="shared" si="1"/>
        <v>7</v>
      </c>
      <c r="AA28" s="9">
        <f t="shared" si="2"/>
        <v>5</v>
      </c>
      <c r="AB28" s="9">
        <f t="shared" si="3"/>
        <v>5</v>
      </c>
      <c r="AC28" s="9">
        <f t="shared" si="4"/>
        <v>5.5</v>
      </c>
    </row>
    <row r="29" spans="1:29" x14ac:dyDescent="0.3">
      <c r="A29" s="7" t="s">
        <v>87</v>
      </c>
      <c r="B29" s="7" t="s">
        <v>56</v>
      </c>
      <c r="C29" s="7">
        <v>54</v>
      </c>
      <c r="D29" s="7" t="s">
        <v>59</v>
      </c>
      <c r="E29" s="8">
        <v>5</v>
      </c>
      <c r="F29" s="8">
        <v>6</v>
      </c>
      <c r="G29" s="8">
        <v>7</v>
      </c>
      <c r="H29" s="8">
        <v>6</v>
      </c>
      <c r="I29" s="8">
        <v>5</v>
      </c>
      <c r="J29" s="8">
        <v>6</v>
      </c>
      <c r="K29" s="8">
        <v>6</v>
      </c>
      <c r="L29" s="8">
        <v>5</v>
      </c>
      <c r="M29" s="8">
        <v>5</v>
      </c>
      <c r="N29" s="8">
        <v>5</v>
      </c>
      <c r="O29" s="8">
        <v>5</v>
      </c>
      <c r="P29" s="8">
        <v>5</v>
      </c>
      <c r="Q29" s="8">
        <v>6</v>
      </c>
      <c r="R29" s="8">
        <v>6</v>
      </c>
      <c r="S29" s="8">
        <v>5</v>
      </c>
      <c r="T29" s="8">
        <v>5</v>
      </c>
      <c r="U29" s="8">
        <v>6</v>
      </c>
      <c r="V29" s="8">
        <v>5</v>
      </c>
      <c r="W29" s="8">
        <v>5</v>
      </c>
      <c r="X29" s="8">
        <v>4</v>
      </c>
      <c r="Y29" s="9">
        <f t="shared" si="0"/>
        <v>6</v>
      </c>
      <c r="Z29" s="9">
        <f t="shared" si="1"/>
        <v>5.5</v>
      </c>
      <c r="AA29" s="9">
        <f t="shared" si="2"/>
        <v>5</v>
      </c>
      <c r="AB29" s="9">
        <f t="shared" si="3"/>
        <v>5.5</v>
      </c>
      <c r="AC29" s="9">
        <f t="shared" si="4"/>
        <v>5</v>
      </c>
    </row>
    <row r="30" spans="1:29" x14ac:dyDescent="0.3">
      <c r="A30" s="7" t="s">
        <v>88</v>
      </c>
      <c r="B30" s="7" t="s">
        <v>61</v>
      </c>
      <c r="C30" s="7">
        <v>40</v>
      </c>
      <c r="D30" s="7" t="s">
        <v>57</v>
      </c>
      <c r="E30" s="8">
        <v>7</v>
      </c>
      <c r="F30" s="8">
        <v>6</v>
      </c>
      <c r="G30" s="8">
        <v>6</v>
      </c>
      <c r="H30" s="8">
        <v>7</v>
      </c>
      <c r="I30" s="8">
        <v>6</v>
      </c>
      <c r="J30" s="8">
        <v>4</v>
      </c>
      <c r="K30" s="8">
        <v>6</v>
      </c>
      <c r="L30" s="8">
        <v>6</v>
      </c>
      <c r="M30" s="8">
        <v>5</v>
      </c>
      <c r="N30" s="8">
        <v>5</v>
      </c>
      <c r="O30" s="8">
        <v>5</v>
      </c>
      <c r="P30" s="8">
        <v>4</v>
      </c>
      <c r="Q30" s="8">
        <v>6</v>
      </c>
      <c r="R30" s="8">
        <v>5</v>
      </c>
      <c r="S30" s="8">
        <v>6</v>
      </c>
      <c r="T30" s="8">
        <v>6</v>
      </c>
      <c r="U30" s="8">
        <v>6</v>
      </c>
      <c r="V30" s="8">
        <v>5</v>
      </c>
      <c r="W30" s="8">
        <v>6</v>
      </c>
      <c r="X30" s="8">
        <v>6</v>
      </c>
      <c r="Y30" s="9">
        <f t="shared" si="0"/>
        <v>6.5</v>
      </c>
      <c r="Z30" s="9">
        <f t="shared" si="1"/>
        <v>5.5</v>
      </c>
      <c r="AA30" s="9">
        <f t="shared" si="2"/>
        <v>4.75</v>
      </c>
      <c r="AB30" s="9">
        <f t="shared" si="3"/>
        <v>5.75</v>
      </c>
      <c r="AC30" s="9">
        <f t="shared" si="4"/>
        <v>5.75</v>
      </c>
    </row>
    <row r="31" spans="1:29" x14ac:dyDescent="0.3">
      <c r="A31" s="7" t="s">
        <v>89</v>
      </c>
      <c r="B31" s="7" t="s">
        <v>56</v>
      </c>
      <c r="C31" s="7">
        <v>48</v>
      </c>
      <c r="D31" s="7" t="s">
        <v>57</v>
      </c>
      <c r="E31" s="8">
        <v>6</v>
      </c>
      <c r="F31" s="8">
        <v>6</v>
      </c>
      <c r="G31" s="8">
        <v>7</v>
      </c>
      <c r="H31" s="8">
        <v>6</v>
      </c>
      <c r="I31" s="8">
        <v>7</v>
      </c>
      <c r="J31" s="8">
        <v>7</v>
      </c>
      <c r="K31" s="8">
        <v>6</v>
      </c>
      <c r="L31" s="8">
        <v>6</v>
      </c>
      <c r="M31" s="8">
        <v>5</v>
      </c>
      <c r="N31" s="8">
        <v>6</v>
      </c>
      <c r="O31" s="8">
        <v>6</v>
      </c>
      <c r="P31" s="8">
        <v>6</v>
      </c>
      <c r="Q31" s="8">
        <v>5</v>
      </c>
      <c r="R31" s="8">
        <v>5</v>
      </c>
      <c r="S31" s="8">
        <v>6</v>
      </c>
      <c r="T31" s="8">
        <v>6</v>
      </c>
      <c r="U31" s="8">
        <v>6</v>
      </c>
      <c r="V31" s="8">
        <v>5</v>
      </c>
      <c r="W31" s="8">
        <v>5</v>
      </c>
      <c r="X31" s="8">
        <v>5</v>
      </c>
      <c r="Y31" s="9">
        <f t="shared" si="0"/>
        <v>6.25</v>
      </c>
      <c r="Z31" s="9">
        <f t="shared" si="1"/>
        <v>6.5</v>
      </c>
      <c r="AA31" s="9">
        <f t="shared" si="2"/>
        <v>5.75</v>
      </c>
      <c r="AB31" s="9">
        <f t="shared" si="3"/>
        <v>5.5</v>
      </c>
      <c r="AC31" s="9">
        <f t="shared" si="4"/>
        <v>5.25</v>
      </c>
    </row>
  </sheetData>
  <dataValidations count="1">
    <dataValidation type="whole" showErrorMessage="1" errorTitle="Invalid score" error="Enter an integer from 1 to 7." sqref="E2:X31" xr:uid="{00000000-0002-0000-0300-000000000000}">
      <formula1>1</formula1>
      <formula2>7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6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5" sqref="L15"/>
    </sheetView>
  </sheetViews>
  <sheetFormatPr defaultColWidth="8.6640625" defaultRowHeight="14.4" x14ac:dyDescent="0.3"/>
  <cols>
    <col min="1" max="1" width="12" style="2" customWidth="1"/>
    <col min="2" max="3" width="14" style="2" customWidth="1"/>
    <col min="4" max="23" width="6" style="2" customWidth="1"/>
    <col min="24" max="28" width="12" style="2" customWidth="1"/>
    <col min="29" max="16384" width="8.6640625" style="2"/>
  </cols>
  <sheetData>
    <row r="1" spans="1:28" ht="27.75" customHeight="1" x14ac:dyDescent="0.3">
      <c r="A1" s="6" t="s">
        <v>90</v>
      </c>
      <c r="B1" s="6" t="s">
        <v>91</v>
      </c>
      <c r="C1" s="6" t="s">
        <v>92</v>
      </c>
      <c r="D1" s="6" t="s">
        <v>3</v>
      </c>
      <c r="E1" s="6" t="s">
        <v>5</v>
      </c>
      <c r="F1" s="6" t="s">
        <v>7</v>
      </c>
      <c r="G1" s="6" t="s">
        <v>9</v>
      </c>
      <c r="H1" s="6" t="s">
        <v>12</v>
      </c>
      <c r="I1" s="6" t="s">
        <v>14</v>
      </c>
      <c r="J1" s="6" t="s">
        <v>16</v>
      </c>
      <c r="K1" s="6" t="s">
        <v>18</v>
      </c>
      <c r="L1" s="6" t="s">
        <v>21</v>
      </c>
      <c r="M1" s="6" t="s">
        <v>23</v>
      </c>
      <c r="N1" s="6" t="s">
        <v>25</v>
      </c>
      <c r="O1" s="6" t="s">
        <v>27</v>
      </c>
      <c r="P1" s="6" t="s">
        <v>30</v>
      </c>
      <c r="Q1" s="6" t="s">
        <v>32</v>
      </c>
      <c r="R1" s="6" t="s">
        <v>34</v>
      </c>
      <c r="S1" s="6" t="s">
        <v>36</v>
      </c>
      <c r="T1" s="6" t="s">
        <v>39</v>
      </c>
      <c r="U1" s="6" t="s">
        <v>41</v>
      </c>
      <c r="V1" s="6" t="s">
        <v>43</v>
      </c>
      <c r="W1" s="6" t="s">
        <v>45</v>
      </c>
      <c r="X1" s="6" t="s">
        <v>50</v>
      </c>
      <c r="Y1" s="6" t="s">
        <v>51</v>
      </c>
      <c r="Z1" s="6" t="s">
        <v>52</v>
      </c>
      <c r="AA1" s="6" t="s">
        <v>53</v>
      </c>
      <c r="AB1" s="6" t="s">
        <v>54</v>
      </c>
    </row>
    <row r="2" spans="1:28" x14ac:dyDescent="0.3">
      <c r="A2" s="7" t="s">
        <v>93</v>
      </c>
      <c r="B2" s="7" t="s">
        <v>94</v>
      </c>
      <c r="C2" s="7">
        <v>8</v>
      </c>
      <c r="D2" s="8">
        <v>6</v>
      </c>
      <c r="E2" s="8">
        <v>6</v>
      </c>
      <c r="F2" s="8">
        <v>5</v>
      </c>
      <c r="G2" s="8">
        <v>6</v>
      </c>
      <c r="H2" s="8">
        <v>6</v>
      </c>
      <c r="I2" s="8">
        <v>6</v>
      </c>
      <c r="J2" s="8">
        <v>5</v>
      </c>
      <c r="K2" s="8">
        <v>6</v>
      </c>
      <c r="L2" s="8">
        <v>6</v>
      </c>
      <c r="M2" s="8">
        <v>6</v>
      </c>
      <c r="N2" s="8">
        <v>5</v>
      </c>
      <c r="O2" s="8">
        <v>5</v>
      </c>
      <c r="P2" s="8">
        <v>6</v>
      </c>
      <c r="Q2" s="8">
        <v>6</v>
      </c>
      <c r="R2" s="8">
        <v>6</v>
      </c>
      <c r="S2" s="8">
        <v>5</v>
      </c>
      <c r="T2" s="8">
        <v>6</v>
      </c>
      <c r="U2" s="8">
        <v>6</v>
      </c>
      <c r="V2" s="8">
        <v>7</v>
      </c>
      <c r="W2" s="8">
        <v>6</v>
      </c>
      <c r="X2" s="9">
        <f>AVERAGE(D2:G2)</f>
        <v>5.75</v>
      </c>
      <c r="Y2" s="9">
        <f>AVERAGE(H2:K2)</f>
        <v>5.75</v>
      </c>
      <c r="Z2" s="9">
        <f>AVERAGE(L2:O2)</f>
        <v>5.5</v>
      </c>
      <c r="AA2" s="9">
        <f>AVERAGE(P2:S2)</f>
        <v>5.75</v>
      </c>
      <c r="AB2" s="9">
        <f>AVERAGE(T2:W2)</f>
        <v>6.25</v>
      </c>
    </row>
    <row r="3" spans="1:28" x14ac:dyDescent="0.3">
      <c r="A3" s="7" t="s">
        <v>95</v>
      </c>
      <c r="B3" s="7" t="s">
        <v>94</v>
      </c>
      <c r="C3" s="7">
        <v>14</v>
      </c>
      <c r="D3" s="8">
        <v>6</v>
      </c>
      <c r="E3" s="8">
        <v>6</v>
      </c>
      <c r="F3" s="8">
        <v>6</v>
      </c>
      <c r="G3" s="8">
        <v>6</v>
      </c>
      <c r="H3" s="8">
        <v>5</v>
      </c>
      <c r="I3" s="8">
        <v>6</v>
      </c>
      <c r="J3" s="8">
        <v>6</v>
      </c>
      <c r="K3" s="8">
        <v>5</v>
      </c>
      <c r="L3" s="8">
        <v>6</v>
      </c>
      <c r="M3" s="8">
        <v>6</v>
      </c>
      <c r="N3" s="8">
        <v>7</v>
      </c>
      <c r="O3" s="8">
        <v>6</v>
      </c>
      <c r="P3" s="8">
        <v>6</v>
      </c>
      <c r="Q3" s="8">
        <v>5</v>
      </c>
      <c r="R3" s="8">
        <v>6</v>
      </c>
      <c r="S3" s="8">
        <v>6</v>
      </c>
      <c r="T3" s="8">
        <v>7</v>
      </c>
      <c r="U3" s="8">
        <v>7</v>
      </c>
      <c r="V3" s="8">
        <v>6</v>
      </c>
      <c r="W3" s="8">
        <v>7</v>
      </c>
      <c r="X3" s="9">
        <f>AVERAGE(D3:G3)</f>
        <v>6</v>
      </c>
      <c r="Y3" s="9">
        <f>AVERAGE(H3:K3)</f>
        <v>5.5</v>
      </c>
      <c r="Z3" s="9">
        <f>AVERAGE(L3:O3)</f>
        <v>6.25</v>
      </c>
      <c r="AA3" s="9">
        <f>AVERAGE(P3:S3)</f>
        <v>5.75</v>
      </c>
      <c r="AB3" s="9">
        <f>AVERAGE(T3:W3)</f>
        <v>6.75</v>
      </c>
    </row>
    <row r="4" spans="1:28" x14ac:dyDescent="0.3">
      <c r="A4" s="7" t="s">
        <v>96</v>
      </c>
      <c r="B4" s="7" t="s">
        <v>97</v>
      </c>
      <c r="C4" s="7">
        <v>6</v>
      </c>
      <c r="D4" s="8">
        <v>7</v>
      </c>
      <c r="E4" s="8">
        <v>6</v>
      </c>
      <c r="F4" s="8">
        <v>7</v>
      </c>
      <c r="G4" s="8">
        <v>6</v>
      </c>
      <c r="H4" s="8">
        <v>6</v>
      </c>
      <c r="I4" s="8">
        <v>6</v>
      </c>
      <c r="J4" s="8">
        <v>7</v>
      </c>
      <c r="K4" s="8">
        <v>6</v>
      </c>
      <c r="L4" s="8">
        <v>6</v>
      </c>
      <c r="M4" s="8">
        <v>6</v>
      </c>
      <c r="N4" s="8">
        <v>5</v>
      </c>
      <c r="O4" s="8">
        <v>7</v>
      </c>
      <c r="P4" s="8">
        <v>6</v>
      </c>
      <c r="Q4" s="8">
        <v>6</v>
      </c>
      <c r="R4" s="8">
        <v>6</v>
      </c>
      <c r="S4" s="8">
        <v>6</v>
      </c>
      <c r="T4" s="8">
        <v>5</v>
      </c>
      <c r="U4" s="8">
        <v>6</v>
      </c>
      <c r="V4" s="8">
        <v>6</v>
      </c>
      <c r="W4" s="8">
        <v>6</v>
      </c>
      <c r="X4" s="9">
        <f>AVERAGE(D4:G4)</f>
        <v>6.5</v>
      </c>
      <c r="Y4" s="9">
        <f>AVERAGE(H4:K4)</f>
        <v>6.25</v>
      </c>
      <c r="Z4" s="9">
        <f>AVERAGE(L4:O4)</f>
        <v>6</v>
      </c>
      <c r="AA4" s="9">
        <f>AVERAGE(P4:S4)</f>
        <v>6</v>
      </c>
      <c r="AB4" s="9">
        <f>AVERAGE(T4:W4)</f>
        <v>5.75</v>
      </c>
    </row>
    <row r="5" spans="1:28" x14ac:dyDescent="0.3">
      <c r="A5" s="7" t="s">
        <v>98</v>
      </c>
      <c r="B5" s="7" t="s">
        <v>99</v>
      </c>
      <c r="C5" s="7">
        <v>22</v>
      </c>
      <c r="D5" s="8">
        <v>6</v>
      </c>
      <c r="E5" s="8">
        <v>7</v>
      </c>
      <c r="F5" s="8">
        <v>7</v>
      </c>
      <c r="G5" s="8">
        <v>6</v>
      </c>
      <c r="H5" s="8">
        <v>5</v>
      </c>
      <c r="I5" s="8">
        <v>7</v>
      </c>
      <c r="J5" s="8">
        <v>6</v>
      </c>
      <c r="K5" s="8">
        <v>7</v>
      </c>
      <c r="L5" s="8">
        <v>7</v>
      </c>
      <c r="M5" s="8">
        <v>6</v>
      </c>
      <c r="N5" s="8">
        <v>6</v>
      </c>
      <c r="O5" s="8">
        <v>7</v>
      </c>
      <c r="P5" s="8">
        <v>6</v>
      </c>
      <c r="Q5" s="8">
        <v>7</v>
      </c>
      <c r="R5" s="8">
        <v>6</v>
      </c>
      <c r="S5" s="8">
        <v>6</v>
      </c>
      <c r="T5" s="8">
        <v>6</v>
      </c>
      <c r="U5" s="8">
        <v>5</v>
      </c>
      <c r="V5" s="8">
        <v>5</v>
      </c>
      <c r="W5" s="8">
        <v>6</v>
      </c>
      <c r="X5" s="9">
        <f>AVERAGE(D5:G5)</f>
        <v>6.5</v>
      </c>
      <c r="Y5" s="9">
        <f>AVERAGE(H5:K5)</f>
        <v>6.25</v>
      </c>
      <c r="Z5" s="9">
        <f>AVERAGE(L5:O5)</f>
        <v>6.5</v>
      </c>
      <c r="AA5" s="9">
        <f>AVERAGE(P5:S5)</f>
        <v>6.25</v>
      </c>
      <c r="AB5" s="9">
        <f>AVERAGE(T5:W5)</f>
        <v>5.5</v>
      </c>
    </row>
    <row r="6" spans="1:28" x14ac:dyDescent="0.3">
      <c r="A6" s="7" t="s">
        <v>100</v>
      </c>
      <c r="B6" s="7" t="s">
        <v>101</v>
      </c>
      <c r="C6" s="7">
        <v>30</v>
      </c>
      <c r="D6" s="8">
        <v>7</v>
      </c>
      <c r="E6" s="8">
        <v>6</v>
      </c>
      <c r="F6" s="8">
        <v>7</v>
      </c>
      <c r="G6" s="8">
        <v>7</v>
      </c>
      <c r="H6" s="8">
        <v>5</v>
      </c>
      <c r="I6" s="8">
        <v>7</v>
      </c>
      <c r="J6" s="8">
        <v>5</v>
      </c>
      <c r="K6" s="8">
        <v>6</v>
      </c>
      <c r="L6" s="8">
        <v>6</v>
      </c>
      <c r="M6" s="8">
        <v>6</v>
      </c>
      <c r="N6" s="8">
        <v>6</v>
      </c>
      <c r="O6" s="8">
        <v>5</v>
      </c>
      <c r="P6" s="8">
        <v>6</v>
      </c>
      <c r="Q6" s="8">
        <v>7</v>
      </c>
      <c r="R6" s="8">
        <v>7</v>
      </c>
      <c r="S6" s="8">
        <v>7</v>
      </c>
      <c r="T6" s="8">
        <v>6</v>
      </c>
      <c r="U6" s="8">
        <v>6</v>
      </c>
      <c r="V6" s="8">
        <v>6</v>
      </c>
      <c r="W6" s="8">
        <v>6</v>
      </c>
      <c r="X6" s="9">
        <f>AVERAGE(D6:G6)</f>
        <v>6.75</v>
      </c>
      <c r="Y6" s="9">
        <f>AVERAGE(H6:K6)</f>
        <v>5.75</v>
      </c>
      <c r="Z6" s="9">
        <f>AVERAGE(L6:O6)</f>
        <v>5.75</v>
      </c>
      <c r="AA6" s="9">
        <f>AVERAGE(P6:S6)</f>
        <v>6.75</v>
      </c>
      <c r="AB6" s="9">
        <f>AVERAGE(T6:W6)</f>
        <v>6</v>
      </c>
    </row>
  </sheetData>
  <dataValidations count="1">
    <dataValidation type="whole" showErrorMessage="1" errorTitle="Invalid score" error="Enter an integer from 1 to 7." sqref="D2:W6" xr:uid="{00000000-0002-0000-0400-000000000000}">
      <formula1>1</formula1>
      <formula2>7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zoomScaleNormal="100" workbookViewId="0">
      <selection activeCell="H7" sqref="H7"/>
    </sheetView>
  </sheetViews>
  <sheetFormatPr defaultColWidth="8.6640625" defaultRowHeight="14.4" x14ac:dyDescent="0.3"/>
  <cols>
    <col min="1" max="1" width="18" style="2" customWidth="1"/>
    <col min="2" max="2" width="20.6640625" style="2" bestFit="1" customWidth="1"/>
    <col min="3" max="6" width="20" style="2" customWidth="1"/>
    <col min="7" max="16384" width="8.6640625" style="2"/>
  </cols>
  <sheetData>
    <row r="1" spans="1:6" ht="17.399999999999999" x14ac:dyDescent="0.3">
      <c r="A1" s="12" t="s">
        <v>110</v>
      </c>
      <c r="B1" s="13"/>
      <c r="C1" s="13"/>
      <c r="D1" s="13"/>
    </row>
    <row r="4" spans="1:6" ht="31.5" customHeight="1" x14ac:dyDescent="0.3">
      <c r="A4" s="6" t="s">
        <v>0</v>
      </c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</row>
    <row r="5" spans="1:6" x14ac:dyDescent="0.3">
      <c r="A5" s="7" t="s">
        <v>2</v>
      </c>
      <c r="B5" s="9">
        <f>AVERAGE('Customer Expectations'!Y2:Y31)</f>
        <v>5.9416666666666664</v>
      </c>
      <c r="C5" s="9">
        <f>AVERAGE('Customer Perceptions'!Y2:Y31)</f>
        <v>6.35</v>
      </c>
      <c r="D5" s="14">
        <f t="shared" ref="D5:D10" si="0">C5-B5</f>
        <v>0.40833333333333321</v>
      </c>
      <c r="E5" s="9">
        <f>AVERAGE('Employee Perceptions'!X2:X6)</f>
        <v>6.3</v>
      </c>
      <c r="F5" s="9">
        <f t="shared" ref="F5:F10" si="1">E5-C5</f>
        <v>-4.9999999999999822E-2</v>
      </c>
    </row>
    <row r="6" spans="1:6" x14ac:dyDescent="0.3">
      <c r="A6" s="7" t="s">
        <v>11</v>
      </c>
      <c r="B6" s="9">
        <f>AVERAGE('Customer Expectations'!Z2:Z31)</f>
        <v>6.3583333333333334</v>
      </c>
      <c r="C6" s="9">
        <f>AVERAGE('Customer Perceptions'!Z2:Z31)</f>
        <v>5.65</v>
      </c>
      <c r="D6" s="15">
        <f t="shared" si="0"/>
        <v>-0.70833333333333304</v>
      </c>
      <c r="E6" s="9">
        <f>AVERAGE('Employee Perceptions'!Y2:Y6)</f>
        <v>5.9</v>
      </c>
      <c r="F6" s="9">
        <f t="shared" si="1"/>
        <v>0.25</v>
      </c>
    </row>
    <row r="7" spans="1:6" x14ac:dyDescent="0.3">
      <c r="A7" s="7" t="s">
        <v>20</v>
      </c>
      <c r="B7" s="9">
        <f>AVERAGE('Customer Expectations'!AA2:AA31)</f>
        <v>6.333333333333333</v>
      </c>
      <c r="C7" s="9">
        <f>AVERAGE('Customer Perceptions'!AA2:AA31)</f>
        <v>5.0583333333333336</v>
      </c>
      <c r="D7" s="15">
        <f t="shared" si="0"/>
        <v>-1.2749999999999995</v>
      </c>
      <c r="E7" s="9">
        <f>AVERAGE('Employee Perceptions'!Z2:Z6)</f>
        <v>6</v>
      </c>
      <c r="F7" s="9">
        <f t="shared" si="1"/>
        <v>0.94166666666666643</v>
      </c>
    </row>
    <row r="8" spans="1:6" x14ac:dyDescent="0.3">
      <c r="A8" s="7" t="s">
        <v>29</v>
      </c>
      <c r="B8" s="9">
        <f>AVERAGE('Customer Expectations'!AB2:AB31)</f>
        <v>6.1333333333333337</v>
      </c>
      <c r="C8" s="9">
        <f>AVERAGE('Customer Perceptions'!AB2:AB31)</f>
        <v>5.5166666666666666</v>
      </c>
      <c r="D8" s="15">
        <f t="shared" si="0"/>
        <v>-0.61666666666666714</v>
      </c>
      <c r="E8" s="9">
        <f>AVERAGE('Employee Perceptions'!AA2:AA6)</f>
        <v>6.1</v>
      </c>
      <c r="F8" s="9">
        <f t="shared" si="1"/>
        <v>0.58333333333333304</v>
      </c>
    </row>
    <row r="9" spans="1:6" x14ac:dyDescent="0.3">
      <c r="A9" s="7" t="s">
        <v>38</v>
      </c>
      <c r="B9" s="9">
        <f>AVERAGE('Customer Expectations'!AC2:AC31)</f>
        <v>5.85</v>
      </c>
      <c r="C9" s="9">
        <f>AVERAGE('Customer Perceptions'!AC2:AC31)</f>
        <v>5.083333333333333</v>
      </c>
      <c r="D9" s="15">
        <f t="shared" si="0"/>
        <v>-0.76666666666666661</v>
      </c>
      <c r="E9" s="9">
        <f>AVERAGE('Employee Perceptions'!AB2:AB6)</f>
        <v>6.05</v>
      </c>
      <c r="F9" s="9">
        <f t="shared" si="1"/>
        <v>0.96666666666666679</v>
      </c>
    </row>
    <row r="10" spans="1:6" x14ac:dyDescent="0.3">
      <c r="A10" s="16" t="s">
        <v>107</v>
      </c>
      <c r="B10" s="17">
        <f>AVERAGE(B5:B9)</f>
        <v>6.1233333333333331</v>
      </c>
      <c r="C10" s="17">
        <f>AVERAGE(C5:C9)</f>
        <v>5.5316666666666663</v>
      </c>
      <c r="D10" s="17">
        <f t="shared" si="0"/>
        <v>-0.59166666666666679</v>
      </c>
      <c r="E10" s="17">
        <f>AVERAGE(E5:E9)</f>
        <v>6.0699999999999994</v>
      </c>
      <c r="F10" s="17">
        <f t="shared" si="1"/>
        <v>0.53833333333333311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Questionnaire</vt:lpstr>
      <vt:lpstr>Customer Expectations</vt:lpstr>
      <vt:lpstr>Customer Perceptions</vt:lpstr>
      <vt:lpstr>Employee Perceptions</vt:lpstr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kaushalgoyal70@gmail.com</cp:lastModifiedBy>
  <cp:revision>1</cp:revision>
  <dcterms:created xsi:type="dcterms:W3CDTF">2026-09-12T15:11:51Z</dcterms:created>
  <dcterms:modified xsi:type="dcterms:W3CDTF">2026-09-13T10:12:14Z</dcterms:modified>
  <dc:language>en-US</dc:language>
</cp:coreProperties>
</file>